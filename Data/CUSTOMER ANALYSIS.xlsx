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90" documentId="11_DF1A858DF64B31EC4085002D40E5EDB2482C7563" xr6:coauthVersionLast="47" xr6:coauthVersionMax="47" xr10:uidLastSave="{9E43F24D-FFC8-49CF-AED7-C2E52C31718A}"/>
  <bookViews>
    <workbookView xWindow="-110" yWindow="-110" windowWidth="19420" windowHeight="10300" xr2:uid="{00000000-000D-0000-FFFF-FFFF00000000}"/>
  </bookViews>
  <sheets>
    <sheet name="Sheet3" sheetId="18" r:id="rId1"/>
    <sheet name="CUSTOMER" sheetId="1" r:id="rId2"/>
    <sheet name="ORDER_DETAILS" sheetId="2" r:id="rId3"/>
    <sheet name="REGION" sheetId="3" r:id="rId4"/>
    <sheet name="STORE" sheetId="4" r:id="rId5"/>
    <sheet name="YEAR" sheetId="5" r:id="rId6"/>
    <sheet name="ITEM" sheetId="6" r:id="rId7"/>
    <sheet name="DAY" sheetId="7" r:id="rId8"/>
    <sheet name="CHANNEL" sheetId="8" r:id="rId9"/>
    <sheet name="CITY" sheetId="9" r:id="rId10"/>
    <sheet name="COUNTRY" sheetId="10" r:id="rId11"/>
    <sheet name="SUBCATEGORY" sheetId="11" r:id="rId12"/>
    <sheet name="CATEGORY" sheetId="12" r:id="rId13"/>
    <sheet name="DEPARTMENT" sheetId="13" r:id="rId14"/>
    <sheet name="STATE" sheetId="14" r:id="rId15"/>
    <sheet name="REL_CUSTOMER_STORE" sheetId="15" r:id="rId16"/>
  </sheets>
  <calcPr calcId="191029"/>
  <pivotCaches>
    <pivotCache cacheId="14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2" i="9"/>
  <c r="D3" i="14"/>
  <c r="D4" i="14"/>
  <c r="D5" i="14"/>
  <c r="D6" i="14"/>
  <c r="D7" i="14"/>
  <c r="D8" i="14"/>
  <c r="D9" i="14"/>
  <c r="D10" i="14"/>
  <c r="D11" i="14"/>
  <c r="D2" i="14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3" i="2"/>
  <c r="J4" i="2"/>
  <c r="J5" i="2"/>
  <c r="J6" i="2"/>
  <c r="J7" i="2"/>
  <c r="J8" i="2"/>
  <c r="J9" i="2"/>
  <c r="J2" i="2"/>
  <c r="L2" i="2" l="1"/>
  <c r="L3" i="2"/>
  <c r="L7" i="2"/>
  <c r="L11" i="2"/>
  <c r="L15" i="2"/>
  <c r="L19" i="2"/>
  <c r="L23" i="2"/>
  <c r="L27" i="2"/>
  <c r="L31" i="2"/>
  <c r="L35" i="2"/>
  <c r="L39" i="2"/>
  <c r="L43" i="2"/>
  <c r="L47" i="2"/>
  <c r="L51" i="2"/>
  <c r="L55" i="2"/>
  <c r="L59" i="2"/>
  <c r="L63" i="2"/>
  <c r="L67" i="2"/>
  <c r="L71" i="2"/>
  <c r="L75" i="2"/>
  <c r="L79" i="2"/>
  <c r="L83" i="2"/>
  <c r="L87" i="2"/>
  <c r="L91" i="2"/>
  <c r="L95" i="2"/>
  <c r="L99" i="2"/>
  <c r="L4" i="2"/>
  <c r="L8" i="2"/>
  <c r="L12" i="2"/>
  <c r="L16" i="2"/>
  <c r="L20" i="2"/>
  <c r="L24" i="2"/>
  <c r="L28" i="2"/>
  <c r="L32" i="2"/>
  <c r="L36" i="2"/>
  <c r="L40" i="2"/>
  <c r="L44" i="2"/>
  <c r="L48" i="2"/>
  <c r="L52" i="2"/>
  <c r="L56" i="2"/>
  <c r="L60" i="2"/>
  <c r="L64" i="2"/>
  <c r="L68" i="2"/>
  <c r="L72" i="2"/>
  <c r="L76" i="2"/>
  <c r="L80" i="2"/>
  <c r="L84" i="2"/>
  <c r="L88" i="2"/>
  <c r="L92" i="2"/>
  <c r="L96" i="2"/>
  <c r="L100" i="2"/>
  <c r="L5" i="2"/>
  <c r="L9" i="2"/>
  <c r="L13" i="2"/>
  <c r="L17" i="2"/>
  <c r="L21" i="2"/>
  <c r="L25" i="2"/>
  <c r="L29" i="2"/>
  <c r="L33" i="2"/>
  <c r="L37" i="2"/>
  <c r="L41" i="2"/>
  <c r="L45" i="2"/>
  <c r="L49" i="2"/>
  <c r="L53" i="2"/>
  <c r="L57" i="2"/>
  <c r="L61" i="2"/>
  <c r="L65" i="2"/>
  <c r="L69" i="2"/>
  <c r="L73" i="2"/>
  <c r="L77" i="2"/>
  <c r="L81" i="2"/>
  <c r="L85" i="2"/>
  <c r="L89" i="2"/>
  <c r="L93" i="2"/>
  <c r="L97" i="2"/>
  <c r="L101" i="2"/>
  <c r="L6" i="2"/>
  <c r="L10" i="2"/>
  <c r="L14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</calcChain>
</file>

<file path=xl/sharedStrings.xml><?xml version="1.0" encoding="utf-8"?>
<sst xmlns="http://schemas.openxmlformats.org/spreadsheetml/2006/main" count="1158" uniqueCount="901">
  <si>
    <t>Customer_ID</t>
  </si>
  <si>
    <t>Customer_Name</t>
  </si>
  <si>
    <t>Customer_Email</t>
  </si>
  <si>
    <t>City_ID</t>
  </si>
  <si>
    <t>Customer_Zipcode</t>
  </si>
  <si>
    <t>Latitude</t>
  </si>
  <si>
    <t>Longitude</t>
  </si>
  <si>
    <t>Agatha Clauss</t>
  </si>
  <si>
    <t>a.clauss@gmail.com</t>
  </si>
  <si>
    <t>Alaine Kindig</t>
  </si>
  <si>
    <t>a.kindig@hotmail.com</t>
  </si>
  <si>
    <t>Alonzo Stoltz</t>
  </si>
  <si>
    <t>a.stoltz@yahoo.com</t>
  </si>
  <si>
    <t>Andreas Armour</t>
  </si>
  <si>
    <t>a.armour@outlook.com</t>
  </si>
  <si>
    <t>Anette Abdulla</t>
  </si>
  <si>
    <t>a.abdulla@aol.com</t>
  </si>
  <si>
    <t>Anjelica Usrey</t>
  </si>
  <si>
    <t>a.usrey@mail.com</t>
  </si>
  <si>
    <t>Ardath Peaslee</t>
  </si>
  <si>
    <t>a.peaslee@gmail.com</t>
  </si>
  <si>
    <t>Ashley Ables</t>
  </si>
  <si>
    <t>a.ables@hotmail.com</t>
  </si>
  <si>
    <t>Bernarda Caughey</t>
  </si>
  <si>
    <t>b.caughey@yahoo.com</t>
  </si>
  <si>
    <t>Berniece Blakely</t>
  </si>
  <si>
    <t>b.blakely@outlook.com</t>
  </si>
  <si>
    <t>Bonita Honaker</t>
  </si>
  <si>
    <t>b.honaker@aol.com</t>
  </si>
  <si>
    <t>Brittney Edmond</t>
  </si>
  <si>
    <t>b.edmond@mail.com</t>
  </si>
  <si>
    <t>Bryant Ertel</t>
  </si>
  <si>
    <t>b.ertel@gmail.com</t>
  </si>
  <si>
    <t>Cari Craw</t>
  </si>
  <si>
    <t>c.craw@hotmail.com</t>
  </si>
  <si>
    <t>Caryn Conry</t>
  </si>
  <si>
    <t>c.conry@yahoo.com</t>
  </si>
  <si>
    <t>Casandra Flewelling</t>
  </si>
  <si>
    <t>c.flewelling@outlook.com</t>
  </si>
  <si>
    <t>Cecelia Beeler</t>
  </si>
  <si>
    <t>c.beeler@aol.com</t>
  </si>
  <si>
    <t>Cecilia Crossman</t>
  </si>
  <si>
    <t>c.crossman@mail.com</t>
  </si>
  <si>
    <t>Charlyn Sanroman</t>
  </si>
  <si>
    <t>c.sanroman@gmail.com</t>
  </si>
  <si>
    <t>Chelsey Powers</t>
  </si>
  <si>
    <t>c.powers@hotmail.com</t>
  </si>
  <si>
    <t>Clemencia Gwyn</t>
  </si>
  <si>
    <t>c.gwyn@yahoo.com</t>
  </si>
  <si>
    <t>Colleen Coplin</t>
  </si>
  <si>
    <t>c.coplin@outlook.com</t>
  </si>
  <si>
    <t>Collette Romain</t>
  </si>
  <si>
    <t>c.romain@aol.com</t>
  </si>
  <si>
    <t>Corrinne Cataldo</t>
  </si>
  <si>
    <t>c.cataldo@mail.com</t>
  </si>
  <si>
    <t>Cristy Claire</t>
  </si>
  <si>
    <t>c.claire@gmail.com</t>
  </si>
  <si>
    <t>Cyndy Collie</t>
  </si>
  <si>
    <t>c.collie@hotmail.com</t>
  </si>
  <si>
    <t>Daniel Emmerich</t>
  </si>
  <si>
    <t>d.emmerich@yahoo.com</t>
  </si>
  <si>
    <t>Delena Hulin</t>
  </si>
  <si>
    <t>d.hulin@outlook.com</t>
  </si>
  <si>
    <t>Deneen Client</t>
  </si>
  <si>
    <t>d.client@aol.com</t>
  </si>
  <si>
    <t>Dinah Trusty</t>
  </si>
  <si>
    <t>d.trusty@mail.com</t>
  </si>
  <si>
    <t>Dona Kinkade</t>
  </si>
  <si>
    <t>d.kinkade@gmail.com</t>
  </si>
  <si>
    <t>Doretha Mcmunn</t>
  </si>
  <si>
    <t>d.mcmunn@hotmail.com</t>
  </si>
  <si>
    <t>Douglas Swinson</t>
  </si>
  <si>
    <t>d.swinson@yahoo.com</t>
  </si>
  <si>
    <t>Duane Dopp</t>
  </si>
  <si>
    <t>d.dopp@outlook.com</t>
  </si>
  <si>
    <t>Dung Do</t>
  </si>
  <si>
    <t>d.do@aol.com</t>
  </si>
  <si>
    <t>Earnestine Heidenreich</t>
  </si>
  <si>
    <t>e.heidenreich@mail.com</t>
  </si>
  <si>
    <t>Edda Mcquillen</t>
  </si>
  <si>
    <t>e.mcquillen@gmail.com</t>
  </si>
  <si>
    <t>Edison Littell</t>
  </si>
  <si>
    <t>e.littell@hotmail.com</t>
  </si>
  <si>
    <t>Edythe Manney</t>
  </si>
  <si>
    <t>e.manney@yahoo.com</t>
  </si>
  <si>
    <t>Eleonora Eddinger</t>
  </si>
  <si>
    <t>e.eddinger@outlook.com</t>
  </si>
  <si>
    <t>Elicia Rea</t>
  </si>
  <si>
    <t>e.rea@aol.com</t>
  </si>
  <si>
    <t>Eliseo Mangual</t>
  </si>
  <si>
    <t>e.mangual@mail.com</t>
  </si>
  <si>
    <t>Eric Eshelman</t>
  </si>
  <si>
    <t>e.eshelman@gmail.com</t>
  </si>
  <si>
    <t>Eura Gordan</t>
  </si>
  <si>
    <t>e.gordan@hotmail.com</t>
  </si>
  <si>
    <t>Everette Ellery</t>
  </si>
  <si>
    <t>e.ellery@yahoo.com</t>
  </si>
  <si>
    <t>Fay Cumbo</t>
  </si>
  <si>
    <t>f.cumbo@outlook.com</t>
  </si>
  <si>
    <t>Fe Finchum</t>
  </si>
  <si>
    <t>f.finchum@aol.com</t>
  </si>
  <si>
    <t>Federico Flores</t>
  </si>
  <si>
    <t>f.flores@mail.com</t>
  </si>
  <si>
    <t>Geraldo Stickney</t>
  </si>
  <si>
    <t>g.stickney@gmail.com</t>
  </si>
  <si>
    <t>Gia Junkin</t>
  </si>
  <si>
    <t>g.junkin@hotmail.com</t>
  </si>
  <si>
    <t>Gladis Hasan</t>
  </si>
  <si>
    <t>g.hasan@yahoo.com</t>
  </si>
  <si>
    <t>Glennis Going</t>
  </si>
  <si>
    <t>g.going@outlook.com</t>
  </si>
  <si>
    <t>Gracia Jelks</t>
  </si>
  <si>
    <t>g.jelks@aol.com</t>
  </si>
  <si>
    <t>Harmony Burell</t>
  </si>
  <si>
    <t>h.burell@mail.com</t>
  </si>
  <si>
    <t>Harrison Hugh</t>
  </si>
  <si>
    <t>h.hugh@gmail.com</t>
  </si>
  <si>
    <t>Hsiu Hinrichs</t>
  </si>
  <si>
    <t>h.hinrichs@hotmail.com</t>
  </si>
  <si>
    <t>Ina Iversen</t>
  </si>
  <si>
    <t>i.iversen@yahoo.com</t>
  </si>
  <si>
    <t>Isis Isom</t>
  </si>
  <si>
    <t>i.isom@outlook.com</t>
  </si>
  <si>
    <t>Janella Vallo</t>
  </si>
  <si>
    <t>j.vallo@aol.com</t>
  </si>
  <si>
    <t>Janetta Jhonson</t>
  </si>
  <si>
    <t>j.jhonson@mail.com</t>
  </si>
  <si>
    <t>Jeanelle Joynes</t>
  </si>
  <si>
    <t>j.joynes@gmail.com</t>
  </si>
  <si>
    <t>Jeanine Chavez</t>
  </si>
  <si>
    <t>j.chavez@hotmail.com</t>
  </si>
  <si>
    <t>Johnathon Tucker</t>
  </si>
  <si>
    <t>j.tucker@yahoo.com</t>
  </si>
  <si>
    <t>Josephine Escoto</t>
  </si>
  <si>
    <t>j.escoto@outlook.com</t>
  </si>
  <si>
    <t>Judie Sawicki</t>
  </si>
  <si>
    <t>j.sawicki@aol.com</t>
  </si>
  <si>
    <t>Julieta Hard</t>
  </si>
  <si>
    <t>j.hard@mail.com</t>
  </si>
  <si>
    <t>Kaitlyn Killian</t>
  </si>
  <si>
    <t>k.killian@gmail.com</t>
  </si>
  <si>
    <t>Kandy Tully</t>
  </si>
  <si>
    <t>k.tully@hotmail.com</t>
  </si>
  <si>
    <t>Kareem Koser</t>
  </si>
  <si>
    <t>k.koser@yahoo.com</t>
  </si>
  <si>
    <t>Karina Lisle</t>
  </si>
  <si>
    <t>k.lisle@outlook.com</t>
  </si>
  <si>
    <t>Karissa Kircher</t>
  </si>
  <si>
    <t>k.kircher@aol.com</t>
  </si>
  <si>
    <t>Karla Munoz</t>
  </si>
  <si>
    <t>k.munoz@mail.com</t>
  </si>
  <si>
    <t>Katharine Pearcy</t>
  </si>
  <si>
    <t>k.pearcy@gmail.com</t>
  </si>
  <si>
    <t>Kazuko Serrato</t>
  </si>
  <si>
    <t>k.serrato@hotmail.com</t>
  </si>
  <si>
    <t>Keisha Koh</t>
  </si>
  <si>
    <t>k.koh@yahoo.com</t>
  </si>
  <si>
    <t>Khalilah Demaria</t>
  </si>
  <si>
    <t>k.demaria@outlook.com</t>
  </si>
  <si>
    <t>Kyla Danek</t>
  </si>
  <si>
    <t>k.danek@aol.com</t>
  </si>
  <si>
    <t>Lacey Rollison</t>
  </si>
  <si>
    <t>l.rollison@mail.com</t>
  </si>
  <si>
    <t>Lala Ladue</t>
  </si>
  <si>
    <t>l.ladue@gmail.com</t>
  </si>
  <si>
    <t>Lashaunda Mynatt</t>
  </si>
  <si>
    <t>l.mynatt@hotmail.com</t>
  </si>
  <si>
    <t>Leanne Lockhart</t>
  </si>
  <si>
    <t>l.lockhart@yahoo.com</t>
  </si>
  <si>
    <t>Lesley Rue</t>
  </si>
  <si>
    <t>l.rue@outlook.com</t>
  </si>
  <si>
    <t>Lily Weatherford</t>
  </si>
  <si>
    <t>l.weatherford@aol.com</t>
  </si>
  <si>
    <t>Linn Muncy</t>
  </si>
  <si>
    <t>l.muncy@mail.com</t>
  </si>
  <si>
    <t>Lissette Layton</t>
  </si>
  <si>
    <t>l.layton@gmail.com</t>
  </si>
  <si>
    <t>Louann Luck</t>
  </si>
  <si>
    <t>l.luck@hotmail.com</t>
  </si>
  <si>
    <t>Lynnette Loyola</t>
  </si>
  <si>
    <t>l.loyola@yahoo.com</t>
  </si>
  <si>
    <t>Marlene Daniell</t>
  </si>
  <si>
    <t>m.daniell@outlook.com</t>
  </si>
  <si>
    <t>Masako Moler</t>
  </si>
  <si>
    <t>m.moler@aol.com</t>
  </si>
  <si>
    <t>Maxwell Wengert</t>
  </si>
  <si>
    <t>m.wengert@mail.com</t>
  </si>
  <si>
    <t>Maybelle Bolt</t>
  </si>
  <si>
    <t>m.bolt@gmail.com</t>
  </si>
  <si>
    <t>Mercedes Godin</t>
  </si>
  <si>
    <t>m.godin@hotmail.com</t>
  </si>
  <si>
    <t>Mervin Chiodo</t>
  </si>
  <si>
    <t>m.chiodo@yahoo.com</t>
  </si>
  <si>
    <t>Michelina Manners</t>
  </si>
  <si>
    <t>m.manners@outlook.com</t>
  </si>
  <si>
    <t>Michelle Madonia</t>
  </si>
  <si>
    <t>m.madonia@aol.com</t>
  </si>
  <si>
    <t>Miss Henslee</t>
  </si>
  <si>
    <t>m.henslee@mail.com</t>
  </si>
  <si>
    <t>Mitchell Doughtie</t>
  </si>
  <si>
    <t>m.doughtie@gmail.com</t>
  </si>
  <si>
    <t>Myesha Mumm</t>
  </si>
  <si>
    <t>m.mumm@hotmail.com</t>
  </si>
  <si>
    <t>Nana Nolette</t>
  </si>
  <si>
    <t>n.nolette@yahoo.com</t>
  </si>
  <si>
    <t>Natividad Grandberry</t>
  </si>
  <si>
    <t>n.grandberry@outlook.com</t>
  </si>
  <si>
    <t>Day</t>
  </si>
  <si>
    <t>Order_ID</t>
  </si>
  <si>
    <t>Item_ID</t>
  </si>
  <si>
    <t>Store_ID</t>
  </si>
  <si>
    <t>Channel_ID</t>
  </si>
  <si>
    <t>Unit</t>
  </si>
  <si>
    <t>Price</t>
  </si>
  <si>
    <t>Delivery_Charge</t>
  </si>
  <si>
    <t>Region_ID</t>
  </si>
  <si>
    <t>Region_Name</t>
  </si>
  <si>
    <t>Country_ID</t>
  </si>
  <si>
    <t>NorthEast</t>
  </si>
  <si>
    <t>MidAtlantic</t>
  </si>
  <si>
    <t>South</t>
  </si>
  <si>
    <t>West</t>
  </si>
  <si>
    <t>Store Code</t>
  </si>
  <si>
    <t>Zipcode</t>
  </si>
  <si>
    <t>Store_Name</t>
  </si>
  <si>
    <t>wm_85016</t>
  </si>
  <si>
    <t>Wallmart</t>
  </si>
  <si>
    <t>wm_85018</t>
  </si>
  <si>
    <t>wm_85021</t>
  </si>
  <si>
    <t>wm_85251</t>
  </si>
  <si>
    <t>wm_85253</t>
  </si>
  <si>
    <t>wm_85254</t>
  </si>
  <si>
    <t>wm_90211</t>
  </si>
  <si>
    <t>wm_90210</t>
  </si>
  <si>
    <t>wm_90035</t>
  </si>
  <si>
    <t>wm_90212</t>
  </si>
  <si>
    <t>wm_90011</t>
  </si>
  <si>
    <t>wm_90017</t>
  </si>
  <si>
    <t>wm_90027</t>
  </si>
  <si>
    <t>wm_90039</t>
  </si>
  <si>
    <t>wm_90067</t>
  </si>
  <si>
    <t>wm_91324</t>
  </si>
  <si>
    <t>wm_91325</t>
  </si>
  <si>
    <t>wm_93030</t>
  </si>
  <si>
    <t>wm_93035</t>
  </si>
  <si>
    <t>wm_94105</t>
  </si>
  <si>
    <t>wm_94111</t>
  </si>
  <si>
    <t>wm_94124</t>
  </si>
  <si>
    <t>wm_93101</t>
  </si>
  <si>
    <t>wm_93105</t>
  </si>
  <si>
    <t>wm_91406</t>
  </si>
  <si>
    <t>wm_91411</t>
  </si>
  <si>
    <t>wm_06106</t>
  </si>
  <si>
    <t>wm_06144</t>
  </si>
  <si>
    <t>wm_06706</t>
  </si>
  <si>
    <t>wm_06716</t>
  </si>
  <si>
    <t>wm_06516</t>
  </si>
  <si>
    <t>wm_06095</t>
  </si>
  <si>
    <t>wm_33301</t>
  </si>
  <si>
    <t>wm_33334</t>
  </si>
  <si>
    <t>wm_33141</t>
  </si>
  <si>
    <t>wm_33166</t>
  </si>
  <si>
    <t>wm_32504</t>
  </si>
  <si>
    <t>wm_32506</t>
  </si>
  <si>
    <t>wm_32593</t>
  </si>
  <si>
    <t>wm_33701</t>
  </si>
  <si>
    <t>wm_33716</t>
  </si>
  <si>
    <t>wm_33607</t>
  </si>
  <si>
    <t>wm_33613</t>
  </si>
  <si>
    <t>wm_02111</t>
  </si>
  <si>
    <t>wm_02114</t>
  </si>
  <si>
    <t>wm_02125</t>
  </si>
  <si>
    <t>wm_02127</t>
  </si>
  <si>
    <t>wm_02138</t>
  </si>
  <si>
    <t>wm_02142</t>
  </si>
  <si>
    <t>wm_39703</t>
  </si>
  <si>
    <t>wm_39211</t>
  </si>
  <si>
    <t>wm_39216</t>
  </si>
  <si>
    <t>wm_08404</t>
  </si>
  <si>
    <t>wm_07011</t>
  </si>
  <si>
    <t>wm_07013</t>
  </si>
  <si>
    <t>wm_07014</t>
  </si>
  <si>
    <t>wm_08540</t>
  </si>
  <si>
    <t>wm_08543</t>
  </si>
  <si>
    <t>wm_08075</t>
  </si>
  <si>
    <t>wm_07662</t>
  </si>
  <si>
    <t>wm_07070</t>
  </si>
  <si>
    <t>wm_11377</t>
  </si>
  <si>
    <t>wm_11378</t>
  </si>
  <si>
    <t>wm_10001</t>
  </si>
  <si>
    <t>wm_10003</t>
  </si>
  <si>
    <t>wm_10016</t>
  </si>
  <si>
    <t>wm_10017</t>
  </si>
  <si>
    <t>wm_10024</t>
  </si>
  <si>
    <t>wm_10041</t>
  </si>
  <si>
    <t>wm_10104</t>
  </si>
  <si>
    <t>wm_10105</t>
  </si>
  <si>
    <t>wm_10120</t>
  </si>
  <si>
    <t>wm_10128</t>
  </si>
  <si>
    <t>wm_10166</t>
  </si>
  <si>
    <t>wm_10174</t>
  </si>
  <si>
    <t>wm_14607</t>
  </si>
  <si>
    <t>wm_14620</t>
  </si>
  <si>
    <t>wm_14625</t>
  </si>
  <si>
    <t>wm_14646</t>
  </si>
  <si>
    <t>wm_13492</t>
  </si>
  <si>
    <t>wm_75207</t>
  </si>
  <si>
    <t>wm_75231</t>
  </si>
  <si>
    <t>wm_75240</t>
  </si>
  <si>
    <t>wm_77027</t>
  </si>
  <si>
    <t>wm_77030</t>
  </si>
  <si>
    <t>wm_77039</t>
  </si>
  <si>
    <t>wm_77060</t>
  </si>
  <si>
    <t>wm_77074</t>
  </si>
  <si>
    <t>wm_77084</t>
  </si>
  <si>
    <t>wm_77098</t>
  </si>
  <si>
    <t>wm_77258</t>
  </si>
  <si>
    <t>wm_77269</t>
  </si>
  <si>
    <t>wm_75016</t>
  </si>
  <si>
    <t>wm_75062</t>
  </si>
  <si>
    <t>wm_78216</t>
  </si>
  <si>
    <t>wm_78219</t>
  </si>
  <si>
    <t>wm_98003</t>
  </si>
  <si>
    <t>wm_98108</t>
  </si>
  <si>
    <t>wm_98109</t>
  </si>
  <si>
    <t>wm_98122</t>
  </si>
  <si>
    <t>Year_ID</t>
  </si>
  <si>
    <t>ITEM_ID</t>
  </si>
  <si>
    <t>ITEM</t>
  </si>
  <si>
    <t>SUBCAT_ID</t>
  </si>
  <si>
    <t>Samsung Galaxy S 4</t>
  </si>
  <si>
    <t>Samsung Galaxy Note II</t>
  </si>
  <si>
    <t>Samsung Galaxy Mega 6.3</t>
  </si>
  <si>
    <t>Samsung Galaxy Beam</t>
  </si>
  <si>
    <t>Samsung Galaxy S4 Zoom</t>
  </si>
  <si>
    <t>Samsung Galaxy S III</t>
  </si>
  <si>
    <t>Samsung Galaxy SII Plus</t>
  </si>
  <si>
    <t>Samsung Galaxy Note</t>
  </si>
  <si>
    <t>Samsung Galaxy Grand</t>
  </si>
  <si>
    <t>Samsung Wave M</t>
  </si>
  <si>
    <t>Samsung Galaxy Ace Duos</t>
  </si>
  <si>
    <t>Nokia Lumia 920</t>
  </si>
  <si>
    <t>Nokia Lumia 900</t>
  </si>
  <si>
    <t>Nokia Lumia 820</t>
  </si>
  <si>
    <t>NokiaPureView 808</t>
  </si>
  <si>
    <t>Nokia X7</t>
  </si>
  <si>
    <t>Nokia N8</t>
  </si>
  <si>
    <t>Nokia E5</t>
  </si>
  <si>
    <t>Nokia Asha 303</t>
  </si>
  <si>
    <t>HTC One</t>
  </si>
  <si>
    <t>HTC Butterfly S</t>
  </si>
  <si>
    <t>HTC Desire 600</t>
  </si>
  <si>
    <t>HTC One X+</t>
  </si>
  <si>
    <t>HTC One X</t>
  </si>
  <si>
    <t>HTC One S</t>
  </si>
  <si>
    <t>HTC Desire X</t>
  </si>
  <si>
    <t>Apple iphone 5</t>
  </si>
  <si>
    <t>Apple iphone 4</t>
  </si>
  <si>
    <t>Apple iphone 4s</t>
  </si>
  <si>
    <t>Samsung BHM1100NBEGIU In th-ear Headset without charger</t>
  </si>
  <si>
    <t>Samsung EHS44ASSBECINU Stereo Headset</t>
  </si>
  <si>
    <t>Nokia Headset WH-205</t>
  </si>
  <si>
    <t>Apple MD827ZM/A In-the-ear Headset with Remote and Mic</t>
  </si>
  <si>
    <t>Nokia BH-108</t>
  </si>
  <si>
    <t>Samsung BHM1100NBEGIU In th-ear Headset with charger</t>
  </si>
  <si>
    <t>Nokia WH-208 In-the-ear-Headset</t>
  </si>
  <si>
    <t>BlackBerry Premium Stereo Headset</t>
  </si>
  <si>
    <t>Zebronic ZEB-BH500 Bluetooth Headset</t>
  </si>
  <si>
    <t>Skullcandy S2lKDY-010 lnk'd 2 Headset</t>
  </si>
  <si>
    <t>Plantronics Explorer 201 Headset</t>
  </si>
  <si>
    <t>Plantronics Voyager Legend Bluetooth Headset</t>
  </si>
  <si>
    <t>Philips SHE3595BK/00 Headset</t>
  </si>
  <si>
    <t>Sony SBH20</t>
  </si>
  <si>
    <t>Bling Trend Handset</t>
  </si>
  <si>
    <t>Atitude C164AS0601 On-the-ear Bluetooth Headset</t>
  </si>
  <si>
    <t>BlackBerry HS 250 In-the-ear Headset</t>
  </si>
  <si>
    <t>SonyMW600 In-th-ear Headset</t>
  </si>
  <si>
    <t>Nokia WH-100 In-the-ear-Headset</t>
  </si>
  <si>
    <t>Samsung HM1700 In-the-ear-Headset</t>
  </si>
  <si>
    <t>Jabra Headset Wave</t>
  </si>
  <si>
    <t>iDance Free 70 Headset</t>
  </si>
  <si>
    <t>Samsung Charger ATADU10IBECINU</t>
  </si>
  <si>
    <t>Nokia DC-16 Charger </t>
  </si>
  <si>
    <t>Eveready UM 52 Power Bank for Tablets and Smartphones</t>
  </si>
  <si>
    <t>Eveready UM 22 Power Bank for Smartphones</t>
  </si>
  <si>
    <t>Sony CP-ELS Power Bank For Smart Phones</t>
  </si>
  <si>
    <t>Nokia Charger AC-3N</t>
  </si>
  <si>
    <t>DigiFlip Essential 3200 mAh PC005 USB Travel Charger</t>
  </si>
  <si>
    <t>DigiFlip Essential 2200 mAh PC004 USB Travel Charger</t>
  </si>
  <si>
    <t>DigiFlip MC003 USB Wall Charger</t>
  </si>
  <si>
    <t>DigiFlip MC002 USB Wall Charger </t>
  </si>
  <si>
    <t>Eveready Ultima Mobile Power UC 05 Portable USB Charger</t>
  </si>
  <si>
    <t>iAccy OTHC01 Micro USB Wall Charger</t>
  </si>
  <si>
    <t>DigiFlip MC001 USB Wall Charger </t>
  </si>
  <si>
    <t>Sony CP-ELSB Power Bank for Smart Phones </t>
  </si>
  <si>
    <t>Samsung Charger ATADS10IBECINU </t>
  </si>
  <si>
    <t>Callmate TCWH-ILC03 Wall or Home Charger for iPhone 5 / iPad Mini</t>
  </si>
  <si>
    <t>Apple MD836ZM/A 12W USB Charger </t>
  </si>
  <si>
    <t>SanDisk Memory Card MicroSDHC 8GB</t>
  </si>
  <si>
    <t>SanDisk Memory Card MicroSDHC 16GB</t>
  </si>
  <si>
    <t>Samsung MB-MS8G MicroSD 8 GB Memory Card Class 4</t>
  </si>
  <si>
    <t>SanDisk Memory Card MicroSDHC 4GB</t>
  </si>
  <si>
    <t>Transcend Memory Card MicroSDHC 8GB Class 4</t>
  </si>
  <si>
    <t>Transcend Memory Card MicroSD 16GB Class 4</t>
  </si>
  <si>
    <t>SanDisk SDSDQUA-016G-U46A 16 GB Memory Card</t>
  </si>
  <si>
    <t>Samsung MB-MSAGA MicroSD 16 GB Memory Card Class 6</t>
  </si>
  <si>
    <t>Transcend Memory Card MicroSDHC 16GB Class 10</t>
  </si>
  <si>
    <t>Transcend Memory Card MicroSDHC 4GB Class 4</t>
  </si>
  <si>
    <t>SanDisk Memory Card MicroSDHC 32GB</t>
  </si>
  <si>
    <t>SanDisk Memory Card Mobile Ultra 8 GB Class 10</t>
  </si>
  <si>
    <t>SanDisk Memory Card Mobile Ultra 32 GB Class 10</t>
  </si>
  <si>
    <t>Sony Memory Card SR-8N4/T</t>
  </si>
  <si>
    <t>Samsung MB-MS4GA MicroSD 4 GB Memory Card Class 4</t>
  </si>
  <si>
    <t>SanDisk Memory Card MicroSD 2GB</t>
  </si>
  <si>
    <t>Transcend Memory Card MicroSD 32GB Class 4</t>
  </si>
  <si>
    <t>Strontium Memory Card 16 GB MicroSD (Class 6) with Adapter</t>
  </si>
  <si>
    <t>Sony Memory Card SR-16UYA</t>
  </si>
  <si>
    <t>Dell Vostro 2420 Laptop</t>
  </si>
  <si>
    <t>Dell Inspiron 15 3521-TOUCH </t>
  </si>
  <si>
    <t>Dell Vostro 2520 Laptop </t>
  </si>
  <si>
    <t>Dell Inspiron N5521 Laptop </t>
  </si>
  <si>
    <t>Dell W560303TH Laptop </t>
  </si>
  <si>
    <t>Dell W560113TH Laptop </t>
  </si>
  <si>
    <t>Dell Inspiron 14z Laptop</t>
  </si>
  <si>
    <t>Dell New Inspiron 15R SE Laptop </t>
  </si>
  <si>
    <t>Dell Inspiron Ultra N5423 Laptop </t>
  </si>
  <si>
    <t>Dell XPS XPS12 Laptop</t>
  </si>
  <si>
    <t>Dell XPS XPS13 Laptop</t>
  </si>
  <si>
    <t>Dell Inspiron 7720 Laptop </t>
  </si>
  <si>
    <t>Dell Inspiron 7420-14R Laptop </t>
  </si>
  <si>
    <t>Dell Inspiron 15 Laptop</t>
  </si>
  <si>
    <t>HP Pavilion G6-2301AX Laptop</t>
  </si>
  <si>
    <t>HP Pavilion G6-2309TU Laptop</t>
  </si>
  <si>
    <t>HP Pavilion G6-2312AX Laptop </t>
  </si>
  <si>
    <t>HP 2000-2D03TU Laptop </t>
  </si>
  <si>
    <t>HP Pavilion G6-2231TX Laptop</t>
  </si>
  <si>
    <t>HP 2000-2313TU Laptop </t>
  </si>
  <si>
    <t>HP 2000-2106TU Laptop </t>
  </si>
  <si>
    <t>HP Envy M6-1215TX Laptop</t>
  </si>
  <si>
    <t>HP 450 Laptop</t>
  </si>
  <si>
    <t>HP 650 Laptop </t>
  </si>
  <si>
    <t>Apple MacBook Pro Mac MD101HN/A Laptop </t>
  </si>
  <si>
    <t>Apple MacBook Pro Mac MD103HN/A Laptop </t>
  </si>
  <si>
    <t>Apple MacBook Pro Mac Laptop</t>
  </si>
  <si>
    <t>Apple MacBook Pro Mac ME662HN/A Laptop </t>
  </si>
  <si>
    <t>Apple MacBook Pro Mac ME665HN/A Laptop </t>
  </si>
  <si>
    <t>Apple MacBook Air Mac MD223HN/A Laptop </t>
  </si>
  <si>
    <t>Apple MacBook Air Mac MD232HN/A Laptop </t>
  </si>
  <si>
    <t>Samsung NP300E4V-A01IN Laptop</t>
  </si>
  <si>
    <t>Samsung NP370R5E-S05IN Laptop</t>
  </si>
  <si>
    <t>Samsung NP300E5X-A0BIN Laptop</t>
  </si>
  <si>
    <t>Samsung NP550P5C-S05IN Laptop</t>
  </si>
  <si>
    <t>Samsung NP300E5C-A09IN Laptop</t>
  </si>
  <si>
    <t>Samsung NP550P5C-S04IN Laptop</t>
  </si>
  <si>
    <t>Lenovo Ideapad S400</t>
  </si>
  <si>
    <t>Lenovo Essential G500s (59-388254) Laptop</t>
  </si>
  <si>
    <t>Lenovo Essential G505s (59-380146) Laptop</t>
  </si>
  <si>
    <t>Lenovo Ideapad Z585 (59-347937) Laptop </t>
  </si>
  <si>
    <t>Lenovo Ideapad Y500 (59-379647) Laptop </t>
  </si>
  <si>
    <t>Lenovo ThinkPad Edge E430 (3254-1B6) Laptop </t>
  </si>
  <si>
    <t>Lenovo ThinkPad X230 (2325-3VQ) Laptop</t>
  </si>
  <si>
    <t>Sony Cyber-shot DSC-W710 Point &amp; Shoot</t>
  </si>
  <si>
    <t>Nikon Coolpix L28 Point &amp; Shoot </t>
  </si>
  <si>
    <t>Panasonic Lumix DMC-LZ20 Point &amp; Shoot </t>
  </si>
  <si>
    <t>Canon PowerShot A1400 Point &amp; Shoot </t>
  </si>
  <si>
    <t>Sony Cyber-shot DSC-W730 Point &amp; Shoot </t>
  </si>
  <si>
    <t>Sony Cyber-shot DSC-H200 Point &amp; Shoot </t>
  </si>
  <si>
    <t>Sony Cyber-shot DSC-W710 Point &amp; Shoot </t>
  </si>
  <si>
    <t>Sony DSC-H100 Point &amp; Shoot</t>
  </si>
  <si>
    <t>Canon PowerShot SX160 IS Point &amp; Shoot</t>
  </si>
  <si>
    <t>Sony Cyber-shot DSC-WX60 Point &amp; Shoot </t>
  </si>
  <si>
    <t>Sony Cybershot DSC-S5000 Point &amp; Shoot </t>
  </si>
  <si>
    <t>Olympus VG-150 Point &amp; Shoot</t>
  </si>
  <si>
    <t>Sony Cyber-shot DSC-HX300 Point &amp; Shoot </t>
  </si>
  <si>
    <t>Canon EOS 600D SLR</t>
  </si>
  <si>
    <t>Nikon D3100 SLR</t>
  </si>
  <si>
    <t>Nikon D5200 SLR</t>
  </si>
  <si>
    <t>Nikon D5100 SLR</t>
  </si>
  <si>
    <t>Canon EOS 1100D SLR </t>
  </si>
  <si>
    <t>Nikon D3200 SLR</t>
  </si>
  <si>
    <t>Canon EOS 600D SLR </t>
  </si>
  <si>
    <t>Nikon D7000 SLR</t>
  </si>
  <si>
    <t>Nikon D90 SLR </t>
  </si>
  <si>
    <t>Sony Alpha A57K SLT SLR</t>
  </si>
  <si>
    <t>Canon EOS 60D SLR </t>
  </si>
  <si>
    <t>Nikon D800 SLR</t>
  </si>
  <si>
    <t>Sony Alpha A77V SLT SLR</t>
  </si>
  <si>
    <t>Sony Alpha A77VM SLR </t>
  </si>
  <si>
    <t>Nikon D4 SLR</t>
  </si>
  <si>
    <t>Canon EOS 5D Mark III Kit </t>
  </si>
  <si>
    <t>Nikon D600 SLR </t>
  </si>
  <si>
    <t>Sony SLT-A57 SLR</t>
  </si>
  <si>
    <t>Panasonic HX-DC2 Camcorder</t>
  </si>
  <si>
    <t>Sony HDR-CX220E Camcorder</t>
  </si>
  <si>
    <t>Panasonic HC-V110 Camcorder</t>
  </si>
  <si>
    <t>Panasonic HX-DC3 Camcorder</t>
  </si>
  <si>
    <t>Sony DCR-SX22E Camcorder</t>
  </si>
  <si>
    <t>Sony HDR-PJ380E Camcorder</t>
  </si>
  <si>
    <t>JVC GZ-E10 Camcorder </t>
  </si>
  <si>
    <t>Canon LEGRIA HF R36 Camcorder</t>
  </si>
  <si>
    <t>Panasonic SDR-T55 Camcorder</t>
  </si>
  <si>
    <t>Panasonic HC-X920 Camcorder</t>
  </si>
  <si>
    <t>Panasonic SDR-H101 Camcorder</t>
  </si>
  <si>
    <t>Canon LEGRIA HF M56 Camcorder</t>
  </si>
  <si>
    <t>Samsung Galaxy Tab 3 T211 Tablet </t>
  </si>
  <si>
    <t>Samsung Galaxy Tab 3 T311 Tablet </t>
  </si>
  <si>
    <t>Samsung Galaxy Tab 2 P3100</t>
  </si>
  <si>
    <t>Samsung Galaxy Note 5100 Tablet</t>
  </si>
  <si>
    <t>Samsung Galaxy Note 800 </t>
  </si>
  <si>
    <t>Samsung Galaxy Tab 3 T310 Tablet</t>
  </si>
  <si>
    <t>Apple 16GB iPad Mini with Wi-Fi</t>
  </si>
  <si>
    <t>Apple 16GB iPad Mini with Wi-Fi and Cellular </t>
  </si>
  <si>
    <t>Apple 16GB iPad with Retina Display and Wi-Fi </t>
  </si>
  <si>
    <t>Apple 16GB iPad 2 with Wi-Fi </t>
  </si>
  <si>
    <t>Apple 32GB iPad with Retina Display and Wi-Fi</t>
  </si>
  <si>
    <t>Folgers Medium Classic Roast Ground Coffee</t>
  </si>
  <si>
    <t>Great Value: Coffee Non-Dairy Creamer</t>
  </si>
  <si>
    <t>Keurig K-Cups, Coffee People Donut Shop Coffee</t>
  </si>
  <si>
    <t>Eight O'Clock Original Medium Roast K-Cups Coffee</t>
  </si>
  <si>
    <t>Melitta Dark Roast Coffee Pods</t>
  </si>
  <si>
    <t>Starbucks K-Cup Sumatra Blend Coffee</t>
  </si>
  <si>
    <t>Seattle's Best Coffee Level 5 Ground 12oz</t>
  </si>
  <si>
    <t>Master Chef Ground Coffee</t>
  </si>
  <si>
    <t>Lipton Tea Bags, 100ct</t>
  </si>
  <si>
    <t>Tazo Iced Green Tea, 6ct</t>
  </si>
  <si>
    <t>Lipton Cold Brew Pitcher Size Tea Bags, 22ct</t>
  </si>
  <si>
    <t>Arizona Green Tea With Ginseng &amp; Honey, 11.5 oz, 12c</t>
  </si>
  <si>
    <t>Nestea Sweet Lemon Iced Tea Mix, 45.1 oz</t>
  </si>
  <si>
    <t>Arizona Arnold Palmer Lite Half &amp; Half Iced Tea/Lemonade, 11.5 oz, 12ct</t>
  </si>
  <si>
    <t>Nestle Coffee-Mate Original Powder Coffee Creamer, 35.3 oz</t>
  </si>
  <si>
    <t>Glucerna Shake Homemade Vanilla, 8 fl oz bottle</t>
  </si>
  <si>
    <t>Glucerna Shake Creamy Strawberry, 8 fl oz bottle</t>
  </si>
  <si>
    <t>Special K Protein Shake Vanilla, 4ct</t>
  </si>
  <si>
    <t>Silk Very Vanilla Soymilk, 8 fl oz, 4ct</t>
  </si>
  <si>
    <t>Silk Chocolate Soymilk, 8 fl oz, 4ct</t>
  </si>
  <si>
    <t>Kellogg's Special K French Vanilla Protein Shakes</t>
  </si>
  <si>
    <t>Special K Protein Shake, Strawberry, 4ct</t>
  </si>
  <si>
    <t>Hain Celestial Group Almond Dream Original Drink, 64 oz</t>
  </si>
  <si>
    <t>Golden Star Coconut Milk, 13.5 oz (Pack of 12)</t>
  </si>
  <si>
    <t>Meyenberg Evaporated Vitamin D Goat Milk, 12 fl oz</t>
  </si>
  <si>
    <t>Fruit Of The Earth Aloe Vera Juice With 99.8% Aloe</t>
  </si>
  <si>
    <t>Caprisun Fruit Punch Juice Drinks, 6 fl oz, 30 count</t>
  </si>
  <si>
    <t>V8 100% Vegetable Juice, 11.5 fl oz</t>
  </si>
  <si>
    <t>Minute Maid Juices To Go 100% Orange Juice, 6pk</t>
  </si>
  <si>
    <t>Ocean Spray 100% Cranberry 100% Juice, 101.4 oz</t>
  </si>
  <si>
    <t>Welch’s Bottled Healthy Heart 100% Grape Juice, 96 oz</t>
  </si>
  <si>
    <t>Mott's 100% Apple Juice, 1 Gal</t>
  </si>
  <si>
    <t>V8 V-Fusion Pomegranate Blueberry Vegetable &amp; Fruit Juice, 8 oz, 6pk</t>
  </si>
  <si>
    <t>Sunsweet Prune Juice, 64 fl oz</t>
  </si>
  <si>
    <t>Minute Maid Juices To Go 100% Apple Juice, 6pk</t>
  </si>
  <si>
    <t>Clamato: From Concentrate Tomato Cocktail, 64 Oz</t>
  </si>
  <si>
    <t>Great Value: 100% Apple Juice, 64 Oz</t>
  </si>
  <si>
    <t>Frank's Red Hot Original Cayenne Pepper Sauce Condiment, 23 fl oz</t>
  </si>
  <si>
    <t>Heinz Tomato Ketchup, 64 oz</t>
  </si>
  <si>
    <t>Kraft Mayo Real Mayonnaise, 22 oz</t>
  </si>
  <si>
    <t>Jif Creamy Peanut Butter, 28 oz</t>
  </si>
  <si>
    <t>Maranatha: Butter All Natural No Stir Almond Creamy, 12 oz</t>
  </si>
  <si>
    <t>Great Value Peanut Butter Creamy, 40 oz</t>
  </si>
  <si>
    <t>Peanut Butter &amp; Co.: Dark Chocolate Dreams Peanut Butter, 16 Oz</t>
  </si>
  <si>
    <t>KC Masterpiece BBQ Seasoning, 6 oz</t>
  </si>
  <si>
    <t>Sharwood's Major Grey Mango Mild &amp; Fruity Chutney, 12.5 oz</t>
  </si>
  <si>
    <t>Mezzetta Express! Deli-Style Zesty Bell Pepper Relish, 12 oz</t>
  </si>
  <si>
    <t>Dickinson's Sweet N Hot Pepper And Onion Relish, 8.75 oz</t>
  </si>
  <si>
    <t>Mrs. Renfro's Mild Chow Chow, 16 oz</t>
  </si>
  <si>
    <t>S&amp;B Prepared Ginger, 1.41 oz</t>
  </si>
  <si>
    <t>Patak's Lime Relish, 10 oz</t>
  </si>
  <si>
    <t>Howard's Sweet Pepper Relish, 11 oz</t>
  </si>
  <si>
    <t>The Silver Palate Mango Chutney, 10.5 oz</t>
  </si>
  <si>
    <t>Patak's Mango Relish, 10 oz</t>
  </si>
  <si>
    <t>Wickles Original Relish, 16 oz</t>
  </si>
  <si>
    <t>Wickles Wicked Pepper Rings, 16 oz</t>
  </si>
  <si>
    <t>Vlasic: Bread &amp; Butter Sandwich Stackers Pickles, 16 Fl oz</t>
  </si>
  <si>
    <t>Mt. Olive: Kosher Dills Pickles, 80 Fl Oz</t>
  </si>
  <si>
    <t>Vlasic: Zesty Bread &amp; Butter Chips Pickles, 1 Ct</t>
  </si>
  <si>
    <t>Vlasic: Dills Spears Kosher Pickles, 80 Fl oz</t>
  </si>
  <si>
    <t>Wickles: Original Pickles, 16 Fl Oz</t>
  </si>
  <si>
    <t>Bainbridge Festive Foods Crisp Sweet Pickles, 16 oz</t>
  </si>
  <si>
    <t>Dick's Perky Pickles, 128 fl oz</t>
  </si>
  <si>
    <t>Sechler's Candied Sweet Dill Strip Pickles, 16 oz</t>
  </si>
  <si>
    <t>Ragu Old World Style-Traditional</t>
  </si>
  <si>
    <t>A 1: Steak Sauce, 15 Oz</t>
  </si>
  <si>
    <t>KC Masterpiece: Original Barbeque Sauce, 28 Oz</t>
  </si>
  <si>
    <t>Great Value Medium Picante Sauce, 70 oz</t>
  </si>
  <si>
    <t>La Choy: Soy Sauce All Purpose, 15 Oz</t>
  </si>
  <si>
    <t>Wagner's Balsamic Red Wine Sauce Mix, 2.125 oz</t>
  </si>
  <si>
    <t>Try Me Tiger Sauce, 5 oz</t>
  </si>
  <si>
    <t>Johnny Fleeman's Steak Marinade and Seasoning, 16 oz</t>
  </si>
  <si>
    <t>Great Value Mild Picante Sauce</t>
  </si>
  <si>
    <t>Lea &amp; Perrins The Original Worcestershire Sauce, 15 oz</t>
  </si>
  <si>
    <t>Black Pepper: Pure Ground, 4 Oz</t>
  </si>
  <si>
    <t>McCormick Superline Deal Garlic Powder, 12.25 oz</t>
  </si>
  <si>
    <t>Mrs. Dash Original Salt-Free Seasoning Blend, 2.5 oz</t>
  </si>
  <si>
    <t>Tempo Italian Meatball Mix, 2.75 oz</t>
  </si>
  <si>
    <t>McCormick Onion Powder, 2.62 oz</t>
  </si>
  <si>
    <t>McCormick California Style Onion Powder</t>
  </si>
  <si>
    <t>Lawry'sGarlic Salt With Parsley, 11 oz</t>
  </si>
  <si>
    <t>McCormick: Red Pepper Crushed, 2.62 oz</t>
  </si>
  <si>
    <t>McCormick California Style Garlic Powder</t>
  </si>
  <si>
    <t>Morton Sea Salt Coarse Salt, 17.6 oz</t>
  </si>
  <si>
    <t>McCormick Specialty Herbs And Spices Cilantro Leaves, .5 o</t>
  </si>
  <si>
    <t>Nabisco belVita Blueberry Breakfast Biscuits, 1.76 oz</t>
  </si>
  <si>
    <t>Nabisco Oreo Double Stuf Golden Sandwich Cookies, 15.25 oz</t>
  </si>
  <si>
    <t>Nabisco belVita Golden Oat Breakfast Biscuits, 1.76 oz</t>
  </si>
  <si>
    <t>Keebler Vienna Fingers Creme Filled Sandwich Cookies</t>
  </si>
  <si>
    <t>Pepperidge Farm Strawberry Cheesecake Cookies, 8.6 oz</t>
  </si>
  <si>
    <t>Nabisco Fig Newtons Cookies, 14 oz</t>
  </si>
  <si>
    <t>Great Value Pecan Shortbread Cookies, 13 oz</t>
  </si>
  <si>
    <t>Keebler Variety Pack, 12ct</t>
  </si>
  <si>
    <t>Nabisco Nilla Wafers, 11 oz</t>
  </si>
  <si>
    <t>Tootsie Roll Midgees, 400 ct</t>
  </si>
  <si>
    <t>M&amp;M'S Milk Chocolate, 42 oz</t>
  </si>
  <si>
    <t>Hershey's All Time Greats Candy Variety Pack, 30 count, 15.9 oz</t>
  </si>
  <si>
    <t>Hershey's: Milk Chocolate w/Almonds, 6 Ct</t>
  </si>
  <si>
    <t>Raisinets Chocolate Covered Raisins, 11 oz</t>
  </si>
  <si>
    <t>Hershey's: Special Dark Kisses Chocolate, 12 oz</t>
  </si>
  <si>
    <t>Payday: Peanut Caramel Candy, 6 Ct</t>
  </si>
  <si>
    <t>Reese's Kit Kat: Assortment Peanut Butter Cups, 40 Oz</t>
  </si>
  <si>
    <t>Chex Mix Muddy Buddies Snack Mix, 10.5 oz</t>
  </si>
  <si>
    <t>Hapi: Peas Wasabi, 9.9 Oz</t>
  </si>
  <si>
    <t>M&amp;M's Milk Chocolate Snack Mix, 8 oz</t>
  </si>
  <si>
    <t>Popcorn, Indiana Chip'ins White Cheddar Popcorn Chips, 6.7 oz</t>
  </si>
  <si>
    <t>Nabisco Ritz Toasted Chips Sweet Home Sour Cream &amp; Onion, 8.1 oz</t>
  </si>
  <si>
    <t>Gardetto's Original Recipe Snack Mix, 14.5 oz</t>
  </si>
  <si>
    <t>Cheez-It Cheddar &amp; BBQ Snack Mix, 10.5 oz</t>
  </si>
  <si>
    <t>Terra: Exotic Vegetable Original Chips, 7.50 oz</t>
  </si>
  <si>
    <t>Sensible Portions Cinnamon Apple Straws, 6 oz</t>
  </si>
  <si>
    <t>Genisoy Cinnamon Streusel Sweet Crisps, 3.52 oz</t>
  </si>
  <si>
    <t>Pirate's Booty Aged White Cheddar Puffs Cheese Snacks</t>
  </si>
  <si>
    <t>Backyard BarBQue Snack Variety Bundle</t>
  </si>
  <si>
    <t>Kellogg's Pop-Tarts Strawberry Toaster Pastries, 8ct</t>
  </si>
  <si>
    <t>Kellogg's Frosted Blueberry Muffin Pop-Tarts, 8ct</t>
  </si>
  <si>
    <t>Great Value Variety Mini Donuts, 8 count, 15 oz</t>
  </si>
  <si>
    <t>Great Value Iced Honey Buns, 2 oz, 12 count</t>
  </si>
  <si>
    <t>Bunny Powdered Mini Donuts, 7 oz</t>
  </si>
  <si>
    <t>Old London All Natural Rye Melba Toast, 5 oz</t>
  </si>
  <si>
    <t>Mestemacher Fitness Bread, 17.6 oz</t>
  </si>
  <si>
    <t>Mestemacher Sunflower Seed Bread, 17.6 oz</t>
  </si>
  <si>
    <t>Udi's Gluten Free Whole Grain Bread, 12 oz</t>
  </si>
  <si>
    <t>Village Hearth Whole Grain White Bread, 20 oz</t>
  </si>
  <si>
    <t>Arnold Country Sourdough Bread, 24 oz</t>
  </si>
  <si>
    <t>Pepperidge Farm Very Thin 100% Whole Wheat Bread, 16 oz</t>
  </si>
  <si>
    <t>Country Kitchen Pumpernickel Bread, 16 oz</t>
  </si>
  <si>
    <t>Smart Balance Earth Balance Buttery Spread, 1ct</t>
  </si>
  <si>
    <t>Darigold Unsalted Butter, 1 lb</t>
  </si>
  <si>
    <t>Land O Lakes Fresh Buttery Taste Spread, 45 oz</t>
  </si>
  <si>
    <t>reat Value Salted Sweet Cream Butter, 16 oz</t>
  </si>
  <si>
    <t>Shedd's Spread Country Crock Spreadable Butter with Canola Oil, 15 oz</t>
  </si>
  <si>
    <t>Justin's All-Natural Maple Almond Butter, 16 oz</t>
  </si>
  <si>
    <t>Smart Balance Spreadable Butter &amp; Canola Oil Blend, 7.5 oz</t>
  </si>
  <si>
    <t>Blue Bonnet 39% Vegetable Oil Spread, 45 oz</t>
  </si>
  <si>
    <t>Great Value: Cardio Choice Buttery Spread, 15 Oz</t>
  </si>
  <si>
    <t>Red Smith: Pickled Eggs Delicious Prepared Food, 40 Oz</t>
  </si>
  <si>
    <t>Sunny Farms Grade A Fresh Large Eggs, 30ct</t>
  </si>
  <si>
    <t>Deb-El Dried Whole Eggs, 8 oz</t>
  </si>
  <si>
    <t>Hannah's Pickled Egg, 1.25 oz</t>
  </si>
  <si>
    <t>Great Value 100% Liquid Egg Whites, 16 oz</t>
  </si>
  <si>
    <t>Sunny Meadow Extra Large Grade A Eggs, 18 count</t>
  </si>
  <si>
    <t>Egg Beaters Original Real Egg Product, 16 oz</t>
  </si>
  <si>
    <t>Sunny Meadow Large Eggs, 60ct</t>
  </si>
  <si>
    <t>Egg Beaters Florentine, 15 oz</t>
  </si>
  <si>
    <t>Kraft 100% Real Parmesan Grated Cheese, 8 oz</t>
  </si>
  <si>
    <t>Kraft Velveeta: Cheese , 16 Oz</t>
  </si>
  <si>
    <t>Great Value Easy Melt Cheese, 32 oz</t>
  </si>
  <si>
    <t>Kraft Velveeta: Cheese w/2% Milk, 16 oz</t>
  </si>
  <si>
    <t>Kraft Easy Cheese American Cheese, 8 oz</t>
  </si>
  <si>
    <t>Great Value Cheese Wow! White Cheddar Cheese, 8 oz</t>
  </si>
  <si>
    <t>Valley Fresh 100% Natural White Chicken In Water, 12.5 oz</t>
  </si>
  <si>
    <t>Tyson Grilled &amp; Ready Premium Chunk White Chicken, 12 oz</t>
  </si>
  <si>
    <t>Hormel: Premium In Water 97% Fat Free Chicken Breast, 12.5 Oz</t>
  </si>
  <si>
    <t>Hormel: Chunk Chicken, 5 Oz</t>
  </si>
  <si>
    <t>Tyson All Natural Premium Fresh Young Chicken</t>
  </si>
  <si>
    <t>Butterball Turkey Drumsticks</t>
  </si>
  <si>
    <t>Butterball Everyday Fresh Turkey Breast Filets</t>
  </si>
  <si>
    <t>Perdue Crispy CHIcken Strips, 26 oz</t>
  </si>
  <si>
    <t>Great Value Philly Style Chicken Breast, 14 oz</t>
  </si>
  <si>
    <t>Banquet Value Pack Chicken Nuggets, 48 oz</t>
  </si>
  <si>
    <t>Appel Smoked Kipper Herring Fillets, 6.7 oz</t>
  </si>
  <si>
    <t>Reese Tiny Shrimp, 7 oz</t>
  </si>
  <si>
    <t>Louis Kemp Crab Delights Leg Style, 16 oz</t>
  </si>
  <si>
    <t>Acme Smoked Nova Salmon, 4 oz</t>
  </si>
  <si>
    <t>Southern Belle Seafood Stuffed Crabs, 4 count, 12 oz</t>
  </si>
  <si>
    <t>Blue Star Blue Swimming Crabmeat Lump Meat, 6 oz</t>
  </si>
  <si>
    <t>Matlaw's: Stuffed Clams, 20 Oz</t>
  </si>
  <si>
    <t>Trans-Ocean Crab Classic Flake Style Imitation Crab, 8 oz</t>
  </si>
  <si>
    <t>Trans-Ocean Wild Alaska Sockeye Smoked Salmon, 4 oz</t>
  </si>
  <si>
    <t>Trans-Ocean Seafood Snackers, 3 oz</t>
  </si>
  <si>
    <t>Reese Golden Smoked Filets of Trout, 3.75 oz</t>
  </si>
  <si>
    <t>Lobster Classic Chunk Style Imitation Lobster, 8 oz</t>
  </si>
  <si>
    <t>Great Value: Pitted Prunes, 18 Oz</t>
  </si>
  <si>
    <t>Great Value: Dried Apples, 4.5 Oz</t>
  </si>
  <si>
    <t>Del Monte No Sugar Added Diced Pears, 4ct</t>
  </si>
  <si>
    <t>Craisins Original Sweetened Dried Cranberries, 12 Oz</t>
  </si>
  <si>
    <t>Great Value Pineapple Cups 16 Oz</t>
  </si>
  <si>
    <t>Great Value: Mandarin Oranges, 16 oz</t>
  </si>
  <si>
    <t>Dilettante: In Premium Chocolate Bing Cherries, 10 oz</t>
  </si>
  <si>
    <t>Crown Jewels: Strawberries Produce, 1 lb</t>
  </si>
  <si>
    <t>Rainer: Red Delicious Apples, 5 Lb</t>
  </si>
  <si>
    <t>Garden Highway Wrapped Watermelon Quarters</t>
  </si>
  <si>
    <t>Westcake Miller Key Limes, 1 lb</t>
  </si>
  <si>
    <t>Marketside All Natural Green Beans, 32 oz</t>
  </si>
  <si>
    <t>Marketside: Fresh Spinach, 10 Oz</t>
  </si>
  <si>
    <t>Marketside Butternut Squash, 12 oz</t>
  </si>
  <si>
    <t>Marketside: Shredded Iceberg Lettuce, 8 Oz</t>
  </si>
  <si>
    <t>Marketside: Classic Iceberg Salad, 24 Oz</t>
  </si>
  <si>
    <t>Marketside Vegetable Medley, 32 oz</t>
  </si>
  <si>
    <t>Marketside Tricolor Cole Slaw, 16 oz</t>
  </si>
  <si>
    <t>Marketside: Green Beans, 12 Oz</t>
  </si>
  <si>
    <t>Marketside Diced Roma Tomatoes, 6 oz</t>
  </si>
  <si>
    <t>Marketside Baby Half &amp; Half Salad Mix, 5.5 oz</t>
  </si>
  <si>
    <t>Marketside Arugula, 5 oz</t>
  </si>
  <si>
    <t>Women's Woven Polka Dot Dolman Top</t>
  </si>
  <si>
    <t>Concepts Women's Embellished Knit Top with Gathered Waist</t>
  </si>
  <si>
    <t>Signature by Levi Strauss &amp; Co Women's Western Plaid Shirt</t>
  </si>
  <si>
    <t>Alexis Taylor Women's Sleeveless Peplum Top</t>
  </si>
  <si>
    <t>Womens Burnout Studded Shoulder Tee</t>
  </si>
  <si>
    <t>Women's Smocked Flutter Sleeve Woven Top</t>
  </si>
  <si>
    <t>Alexis Taylor Women's Batwing V-Neck Top</t>
  </si>
  <si>
    <t>Alexis Taylor Women's V-Neck Swing Top</t>
  </si>
  <si>
    <t>Alexis Taylor Women's Rouched Sleeve V-Neck Top</t>
  </si>
  <si>
    <t>Brooke Leigh Women's Denim Button-Up Sleeveless Top</t>
  </si>
  <si>
    <t>Women's Tiered Hi-Low Gold Print Top</t>
  </si>
  <si>
    <t>Signature by Levi Strauss &amp; Co Women's Denim Shirt</t>
  </si>
  <si>
    <t>Alexis Taylor Women's V-Neck Cap Sleeve Top</t>
  </si>
  <si>
    <t>George Women's Essential Short Sleeve Button Down Career Shirt</t>
  </si>
  <si>
    <t>Alexis Taylor Women's Lace Trim Sleeve V-Neck Top</t>
  </si>
  <si>
    <t>Tea Rose Women's Tie Waist Peasant Top</t>
  </si>
  <si>
    <t>Bella Bird Women's Sunny Stunner Top</t>
  </si>
  <si>
    <t>George Career Essentials Women's Cowl Neck Jersey Top</t>
  </si>
  <si>
    <t>Red Rivet Embroidered Flap Pocket Skinny Jeans</t>
  </si>
  <si>
    <t>Signature by Levi Strauss &amp; Co. The Skinny Jeans</t>
  </si>
  <si>
    <t>Jordache Women's Printed Cropped Skinny Jeans</t>
  </si>
  <si>
    <t>Miss Tina Women's Skinny Zipper Jeans</t>
  </si>
  <si>
    <t>Miss Tina Women's 5 Pocket Skimmer</t>
  </si>
  <si>
    <t>Pajama Jeans Women's PajamaJeans, Small</t>
  </si>
  <si>
    <t>Faded Glory Knit Color Jeggings</t>
  </si>
  <si>
    <t>Jordache Women's Printed Skinny Jeans</t>
  </si>
  <si>
    <t>Faded Glory Women's Printed Skinny Jeans</t>
  </si>
  <si>
    <t>Signature by Levi Strauss &amp; Co. The Skinny Jeans Cloud</t>
  </si>
  <si>
    <t>Signature by Levi Strauss &amp; Co. Low Rise Bootcut Jeans</t>
  </si>
  <si>
    <t>Signature by Levi Strauss &amp; Co. Modern Bootcut Jeans</t>
  </si>
  <si>
    <t>Faded Glory Women's Basic Bootcut Jea</t>
  </si>
  <si>
    <t>Signature by Levi Strauss &amp; Co. Jeggings</t>
  </si>
  <si>
    <t>Riders by Lee Women's Slender Stretch Bootcut Jeans</t>
  </si>
  <si>
    <t>George - Men's Long-Sleeve Oxford Shirt</t>
  </si>
  <si>
    <t>Dickies - Men's Short Sleeve Twill Work Shirt</t>
  </si>
  <si>
    <t>Panama Jack Men's Short Sleeve Ramie Cotton Solid Shirt</t>
  </si>
  <si>
    <t>Men's Yarn Dye Plaid Woven with Pocket</t>
  </si>
  <si>
    <t>Dickies - Men's Long-Sleeve Twill Work Shirt</t>
  </si>
  <si>
    <t>Men's Short Sleeve Yarn Dye Micro Poly Woven Shirt</t>
  </si>
  <si>
    <t>George - Men's Short-Sleeve Oxford Shirt</t>
  </si>
  <si>
    <t>Men's Anti Wrinkle Poly Woven Shirt</t>
  </si>
  <si>
    <t>Dickies Men's Short Sleeve Chambray Shirt</t>
  </si>
  <si>
    <t>Wrangler Men's' Long Sleeve Solid Twill Shirt</t>
  </si>
  <si>
    <t>No Boundaries Men's Yarn Dye Plaid Woven Shirt</t>
  </si>
  <si>
    <t>Dickies - Men's Denim Button-Down Shirt</t>
  </si>
  <si>
    <t>Wrangler Men's' Long Sleeve Solid Woven Utility Shirt</t>
  </si>
  <si>
    <t>Wrangler Men's HRC-2 Flame Resistant Twill Shirt</t>
  </si>
  <si>
    <t>Dickies Men's Tall Long Sleeve Chambray Shirt</t>
  </si>
  <si>
    <t>Panama Jack Men's Short Sleeve Shirt</t>
  </si>
  <si>
    <t>Plains Men's Short Sleeve Western Shirt</t>
  </si>
  <si>
    <t>Faded Glory Men's Shorts Sleeve Oxford Shirt</t>
  </si>
  <si>
    <t>George Men's Short Sleeve Crinkle Shirt</t>
  </si>
  <si>
    <t>No Boundaries Men's Short Sleeve Snap Front Woven</t>
  </si>
  <si>
    <t>Dickies - Men's 874 Traditional Work Pants</t>
  </si>
  <si>
    <t>Wrangler - Men's Regular Fit Jeans</t>
  </si>
  <si>
    <t>Wrangler - Men's Relaxed Fit Jeans</t>
  </si>
  <si>
    <t>Faded Glory - Men's Original Fit Jeans</t>
  </si>
  <si>
    <t>Wrangler - Men's Carpenter Jeans</t>
  </si>
  <si>
    <t>Dickies - Men's Double-Knee Work Pants</t>
  </si>
  <si>
    <t>Wrangler - Men's Stretch Jeans</t>
  </si>
  <si>
    <t>Signature by Levi Strauss &amp; Co. Men's Jeans</t>
  </si>
  <si>
    <t>Dickies - Men's Utility Jeans</t>
  </si>
  <si>
    <t>Faded Glory - Men's Relaxed Fit Jeans</t>
  </si>
  <si>
    <t>Rustler - Men's Regular Fit Straight-Leg Jeans</t>
  </si>
  <si>
    <t>Wrangler - Men's Cargo Pants</t>
  </si>
  <si>
    <t>Dickies - Men's Relaxed Fit Flat Front Cargo Pants</t>
  </si>
  <si>
    <t>Wrangler - Men's Cargo Jeans</t>
  </si>
  <si>
    <t>George - Men's Pleated Front Pants</t>
  </si>
  <si>
    <t>Dickies Men's 874 Traditional Work Pants</t>
  </si>
  <si>
    <t>Wrangler Men's Relaxed Fit Jeans</t>
  </si>
  <si>
    <t>Wrangler - Men's Rip-Stop Cargo Pants</t>
  </si>
  <si>
    <t>Month_ID</t>
  </si>
  <si>
    <t>Channel_Name</t>
  </si>
  <si>
    <t>Payment</t>
  </si>
  <si>
    <t>Web Store</t>
  </si>
  <si>
    <t>Cash on Delivery</t>
  </si>
  <si>
    <t>Retail Store</t>
  </si>
  <si>
    <t>Card Payment</t>
  </si>
  <si>
    <t>City_Name</t>
  </si>
  <si>
    <t>State_ID</t>
  </si>
  <si>
    <t>Phoenix</t>
  </si>
  <si>
    <t>Scottsdale</t>
  </si>
  <si>
    <t>Beverly Hills</t>
  </si>
  <si>
    <t>Los Angeles</t>
  </si>
  <si>
    <t>Northridge</t>
  </si>
  <si>
    <t>Oxnard</t>
  </si>
  <si>
    <t>San Francisco</t>
  </si>
  <si>
    <t>Santa Barbara</t>
  </si>
  <si>
    <t>Van Nuys</t>
  </si>
  <si>
    <t>Hartford</t>
  </si>
  <si>
    <t>Waterbury</t>
  </si>
  <si>
    <t>West Haven</t>
  </si>
  <si>
    <t>Windsor</t>
  </si>
  <si>
    <t>Fort Lauderdale</t>
  </si>
  <si>
    <t>Miami</t>
  </si>
  <si>
    <t>Pensacola</t>
  </si>
  <si>
    <t>Saint Petersburg</t>
  </si>
  <si>
    <t>Tampa</t>
  </si>
  <si>
    <t>Boston</t>
  </si>
  <si>
    <t>Cambridge</t>
  </si>
  <si>
    <t>Columbus</t>
  </si>
  <si>
    <t>Jackson</t>
  </si>
  <si>
    <t>Atlantic City</t>
  </si>
  <si>
    <t>Clifton</t>
  </si>
  <si>
    <t>Princeton</t>
  </si>
  <si>
    <t>Riverside</t>
  </si>
  <si>
    <t>Rochelle Park</t>
  </si>
  <si>
    <t>Rutherford</t>
  </si>
  <si>
    <t>Flushing</t>
  </si>
  <si>
    <t>New York City</t>
  </si>
  <si>
    <t>Rochester</t>
  </si>
  <si>
    <t>Whitesboro</t>
  </si>
  <si>
    <t>Dallas</t>
  </si>
  <si>
    <t>Houston</t>
  </si>
  <si>
    <t>Irving</t>
  </si>
  <si>
    <t>San Antonio</t>
  </si>
  <si>
    <t>Federal Way</t>
  </si>
  <si>
    <t>Seattle</t>
  </si>
  <si>
    <t>Country_Name</t>
  </si>
  <si>
    <t>United States of America</t>
  </si>
  <si>
    <t>SUBCATEGORY</t>
  </si>
  <si>
    <t>CATEGORY_ID</t>
  </si>
  <si>
    <t>SmartPhones</t>
  </si>
  <si>
    <t>Headsets</t>
  </si>
  <si>
    <t>Chargers</t>
  </si>
  <si>
    <t>Memory Cards</t>
  </si>
  <si>
    <t>Dell</t>
  </si>
  <si>
    <t>HP</t>
  </si>
  <si>
    <t>Apple</t>
  </si>
  <si>
    <t>Samsung</t>
  </si>
  <si>
    <t>Lenovo</t>
  </si>
  <si>
    <t>Point &amp; Shoot</t>
  </si>
  <si>
    <t>SLR</t>
  </si>
  <si>
    <t>Camcorder</t>
  </si>
  <si>
    <t>Coffee and Tea</t>
  </si>
  <si>
    <t>Milk and Cream</t>
  </si>
  <si>
    <t>Juice</t>
  </si>
  <si>
    <t>Condiments</t>
  </si>
  <si>
    <t>Chutneys &amp; Relishes</t>
  </si>
  <si>
    <t>Pickles</t>
  </si>
  <si>
    <t>Sauces</t>
  </si>
  <si>
    <t>Salt and Spices</t>
  </si>
  <si>
    <t>Cookies</t>
  </si>
  <si>
    <t>Candy</t>
  </si>
  <si>
    <t>Chips</t>
  </si>
  <si>
    <t>Bakery and Bread</t>
  </si>
  <si>
    <t>Dairy, Eggs and Cheese</t>
  </si>
  <si>
    <t>Meat, Poultry and Seafood</t>
  </si>
  <si>
    <t>Fruits</t>
  </si>
  <si>
    <t>Vegetables</t>
  </si>
  <si>
    <t>Shirts and Tops</t>
  </si>
  <si>
    <t>Jeans</t>
  </si>
  <si>
    <t>Shirts</t>
  </si>
  <si>
    <t>Jeans and Pants</t>
  </si>
  <si>
    <t>CATEGORY_NAME</t>
  </si>
  <si>
    <t>DEPARTMENT_ID</t>
  </si>
  <si>
    <t>Cell Phones &amp; Accessories</t>
  </si>
  <si>
    <t>Laptops</t>
  </si>
  <si>
    <t>Cameras</t>
  </si>
  <si>
    <t>Tablets</t>
  </si>
  <si>
    <t>Beverages</t>
  </si>
  <si>
    <t>Condiments, Sauces and Spices</t>
  </si>
  <si>
    <t>Snacks &amp; Cookies</t>
  </si>
  <si>
    <t>Fresh Food</t>
  </si>
  <si>
    <t>Produce</t>
  </si>
  <si>
    <t>Women</t>
  </si>
  <si>
    <t>Men</t>
  </si>
  <si>
    <t>DEPARTMENT_NAME</t>
  </si>
  <si>
    <t>Electronics</t>
  </si>
  <si>
    <t>Grocery</t>
  </si>
  <si>
    <t>Clothing</t>
  </si>
  <si>
    <t>State_Name</t>
  </si>
  <si>
    <t>Arizona</t>
  </si>
  <si>
    <t>California</t>
  </si>
  <si>
    <t>Connecticut</t>
  </si>
  <si>
    <t>Florida</t>
  </si>
  <si>
    <t>Massachusetts</t>
  </si>
  <si>
    <t>Mississippi</t>
  </si>
  <si>
    <t>Ney Jersey</t>
  </si>
  <si>
    <t>New York</t>
  </si>
  <si>
    <t>Texas</t>
  </si>
  <si>
    <t>Washington</t>
  </si>
  <si>
    <t>Order_Price</t>
  </si>
  <si>
    <t>Name</t>
  </si>
  <si>
    <t>Unique Names</t>
  </si>
  <si>
    <t>Region</t>
  </si>
  <si>
    <t>Column Labels</t>
  </si>
  <si>
    <t>Grand Total</t>
  </si>
  <si>
    <t>Row Labels</t>
  </si>
  <si>
    <t xml:space="preserve">Price </t>
  </si>
  <si>
    <t xml:space="preserve">Sum of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</si>
</sst>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d\-mmm\-yy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3.361592824076" createdVersion="8" refreshedVersion="8" minRefreshableVersion="3" recordCount="100" xr:uid="{B230370E-E85A-4729-A1C9-C894EF738BCA}">
  <cacheSource type="worksheet">
    <worksheetSource ref="A1:I101" sheet="CUSTOMER"/>
  </cacheSource>
  <cacheFields count="9">
    <cacheField name="Customer_ID" numFmtId="0">
      <sharedItems containsSemiMixedTypes="0" containsString="0" containsNumber="1" containsInteger="1" minValue="1" maxValue="100"/>
    </cacheField>
    <cacheField name="Customer_Name" numFmtId="0">
      <sharedItems count="100">
        <s v="Agatha Clauss"/>
        <s v="Alaine Kindig"/>
        <s v="Alonzo Stoltz"/>
        <s v="Andreas Armour"/>
        <s v="Anette Abdulla"/>
        <s v="Anjelica Usrey"/>
        <s v="Ardath Peaslee"/>
        <s v="Ashley Ables"/>
        <s v="Bernarda Caughey"/>
        <s v="Berniece Blakely"/>
        <s v="Bonita Honaker"/>
        <s v="Brittney Edmond"/>
        <s v="Bryant Ertel"/>
        <s v="Cari Craw"/>
        <s v="Caryn Conry"/>
        <s v="Casandra Flewelling"/>
        <s v="Cecelia Beeler"/>
        <s v="Cecilia Crossman"/>
        <s v="Charlyn Sanroman"/>
        <s v="Chelsey Powers"/>
        <s v="Clemencia Gwyn"/>
        <s v="Colleen Coplin"/>
        <s v="Collette Romain"/>
        <s v="Corrinne Cataldo"/>
        <s v="Cristy Claire"/>
        <s v="Cyndy Collie"/>
        <s v="Daniel Emmerich"/>
        <s v="Delena Hulin"/>
        <s v="Deneen Client"/>
        <s v="Dinah Trusty"/>
        <s v="Dona Kinkade"/>
        <s v="Doretha Mcmunn"/>
        <s v="Douglas Swinson"/>
        <s v="Duane Dopp"/>
        <s v="Dung Do"/>
        <s v="Earnestine Heidenreich"/>
        <s v="Edda Mcquillen"/>
        <s v="Edison Littell"/>
        <s v="Edythe Manney"/>
        <s v="Eleonora Eddinger"/>
        <s v="Elicia Rea"/>
        <s v="Eliseo Mangual"/>
        <s v="Eric Eshelman"/>
        <s v="Eura Gordan"/>
        <s v="Everette Ellery"/>
        <s v="Fay Cumbo"/>
        <s v="Fe Finchum"/>
        <s v="Federico Flores"/>
        <s v="Geraldo Stickney"/>
        <s v="Gia Junkin"/>
        <s v="Gladis Hasan"/>
        <s v="Glennis Going"/>
        <s v="Gracia Jelks"/>
        <s v="Harmony Burell"/>
        <s v="Harrison Hugh"/>
        <s v="Hsiu Hinrichs"/>
        <s v="Ina Iversen"/>
        <s v="Isis Isom"/>
        <s v="Janella Vallo"/>
        <s v="Janetta Jhonson"/>
        <s v="Jeanelle Joynes"/>
        <s v="Jeanine Chavez"/>
        <s v="Johnathon Tucker"/>
        <s v="Josephine Escoto"/>
        <s v="Judie Sawicki"/>
        <s v="Julieta Hard"/>
        <s v="Kaitlyn Killian"/>
        <s v="Kandy Tully"/>
        <s v="Kareem Koser"/>
        <s v="Karina Lisle"/>
        <s v="Karissa Kircher"/>
        <s v="Karla Munoz"/>
        <s v="Katharine Pearcy"/>
        <s v="Kazuko Serrato"/>
        <s v="Keisha Koh"/>
        <s v="Khalilah Demaria"/>
        <s v="Kyla Danek"/>
        <s v="Lacey Rollison"/>
        <s v="Lala Ladue"/>
        <s v="Lashaunda Mynatt"/>
        <s v="Leanne Lockhart"/>
        <s v="Lesley Rue"/>
        <s v="Lily Weatherford"/>
        <s v="Linn Muncy"/>
        <s v="Lissette Layton"/>
        <s v="Louann Luck"/>
        <s v="Lynnette Loyola"/>
        <s v="Marlene Daniell"/>
        <s v="Masako Moler"/>
        <s v="Maxwell Wengert"/>
        <s v="Maybelle Bolt"/>
        <s v="Mercedes Godin"/>
        <s v="Mervin Chiodo"/>
        <s v="Michelina Manners"/>
        <s v="Michelle Madonia"/>
        <s v="Miss Henslee"/>
        <s v="Mitchell Doughtie"/>
        <s v="Myesha Mumm"/>
        <s v="Nana Nolette"/>
        <s v="Natividad Grandberry"/>
      </sharedItems>
    </cacheField>
    <cacheField name="Customer_Email" numFmtId="0">
      <sharedItems/>
    </cacheField>
    <cacheField name="City_ID" numFmtId="0">
      <sharedItems containsSemiMixedTypes="0" containsString="0" containsNumber="1" containsInteger="1" minValue="1" maxValue="38"/>
    </cacheField>
    <cacheField name="Customer_Zipcode" numFmtId="0">
      <sharedItems containsSemiMixedTypes="0" containsString="0" containsNumber="1" containsInteger="1" minValue="2127" maxValue="98122"/>
    </cacheField>
    <cacheField name="Latitude" numFmtId="0">
      <sharedItems containsSemiMixedTypes="0" containsString="0" containsNumber="1" minValue="25.824719999999999" maxValue="47.61157"/>
    </cacheField>
    <cacheField name="Longitude" numFmtId="0">
      <sharedItems containsSemiMixedTypes="0" containsString="0" containsNumber="1" minValue="-122.39570000000001" maxValue="-71.04562"/>
    </cacheField>
    <cacheField name="Region" numFmtId="0">
      <sharedItems count="4">
        <s v="South"/>
        <s v="West"/>
        <s v="MidAtlantic"/>
        <s v="NorthEast"/>
      </sharedItems>
    </cacheField>
    <cacheField name="Price " numFmtId="0">
      <sharedItems containsSemiMixedTypes="0" containsString="0" containsNumber="1" containsInteger="1" minValue="321" maxValue="12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a.clauss@gmail.com"/>
    <n v="35"/>
    <n v="75016"/>
    <n v="32.76726"/>
    <n v="-96.777619999999999"/>
    <x v="0"/>
    <n v="3921"/>
  </r>
  <r>
    <n v="2"/>
    <x v="1"/>
    <s v="a.kindig@hotmail.com"/>
    <n v="7"/>
    <n v="94105"/>
    <n v="37.78922"/>
    <n v="-122.39570000000001"/>
    <x v="1"/>
    <n v="3191"/>
  </r>
  <r>
    <n v="3"/>
    <x v="2"/>
    <s v="a.stoltz@yahoo.com"/>
    <n v="17"/>
    <n v="33701"/>
    <n v="27.770949999999999"/>
    <n v="-82.639309999999995"/>
    <x v="0"/>
    <n v="4030"/>
  </r>
  <r>
    <n v="4"/>
    <x v="3"/>
    <s v="a.armour@outlook.com"/>
    <n v="30"/>
    <n v="10001"/>
    <n v="40.75074"/>
    <n v="-73.996530000000007"/>
    <x v="2"/>
    <n v="7313"/>
  </r>
  <r>
    <n v="5"/>
    <x v="4"/>
    <s v="a.abdulla@aol.com"/>
    <n v="10"/>
    <n v="6106"/>
    <n v="41.746899999999997"/>
    <n v="-72.695930000000004"/>
    <x v="3"/>
    <n v="1152"/>
  </r>
  <r>
    <n v="6"/>
    <x v="5"/>
    <s v="a.usrey@mail.com"/>
    <n v="23"/>
    <n v="8404"/>
    <n v="39.5092"/>
    <n v="-74.608549999999994"/>
    <x v="2"/>
    <n v="775"/>
  </r>
  <r>
    <n v="7"/>
    <x v="6"/>
    <s v="a.peaslee@gmail.com"/>
    <n v="13"/>
    <n v="6095"/>
    <n v="41.857300000000002"/>
    <n v="-72.666539999999998"/>
    <x v="3"/>
    <n v="2476"/>
  </r>
  <r>
    <n v="8"/>
    <x v="7"/>
    <s v="a.ables@hotmail.com"/>
    <n v="27"/>
    <n v="7662"/>
    <n v="40.906550000000003"/>
    <n v="-74.077969999999993"/>
    <x v="2"/>
    <n v="3252"/>
  </r>
  <r>
    <n v="9"/>
    <x v="8"/>
    <s v="b.caughey@yahoo.com"/>
    <n v="37"/>
    <n v="98003"/>
    <n v="47.311070000000001"/>
    <n v="-122.31188"/>
    <x v="1"/>
    <n v="4072"/>
  </r>
  <r>
    <n v="10"/>
    <x v="9"/>
    <s v="b.blakely@outlook.com"/>
    <n v="7"/>
    <n v="94105"/>
    <n v="37.78922"/>
    <n v="-122.39570000000001"/>
    <x v="1"/>
    <n v="12125"/>
  </r>
  <r>
    <n v="11"/>
    <x v="10"/>
    <s v="b.honaker@aol.com"/>
    <n v="31"/>
    <n v="14607"/>
    <n v="43.149859999999997"/>
    <n v="-77.589619999999996"/>
    <x v="2"/>
    <n v="7750"/>
  </r>
  <r>
    <n v="12"/>
    <x v="11"/>
    <s v="b.edmond@mail.com"/>
    <n v="29"/>
    <n v="11377"/>
    <n v="40.74286"/>
    <n v="-73.903769999999994"/>
    <x v="2"/>
    <n v="9445"/>
  </r>
  <r>
    <n v="13"/>
    <x v="12"/>
    <s v="b.ertel@gmail.com"/>
    <n v="11"/>
    <n v="6706"/>
    <n v="41.537889999999997"/>
    <n v="-73.028270000000006"/>
    <x v="3"/>
    <n v="4763"/>
  </r>
  <r>
    <n v="14"/>
    <x v="13"/>
    <s v="c.craw@hotmail.com"/>
    <n v="14"/>
    <n v="33301"/>
    <n v="26.121110000000002"/>
    <n v="-80.131870000000006"/>
    <x v="0"/>
    <n v="3869"/>
  </r>
  <r>
    <n v="15"/>
    <x v="14"/>
    <s v="c.conry@yahoo.com"/>
    <n v="4"/>
    <n v="90011"/>
    <n v="34.007060000000003"/>
    <n v="-118.25868"/>
    <x v="1"/>
    <n v="7981"/>
  </r>
  <r>
    <n v="16"/>
    <x v="15"/>
    <s v="c.flewelling@outlook.com"/>
    <n v="16"/>
    <n v="32504"/>
    <n v="30.487870000000001"/>
    <n v="-87.189369999999997"/>
    <x v="0"/>
    <n v="2685"/>
  </r>
  <r>
    <n v="17"/>
    <x v="16"/>
    <s v="c.beeler@aol.com"/>
    <n v="7"/>
    <n v="94105"/>
    <n v="37.78922"/>
    <n v="-122.39570000000001"/>
    <x v="1"/>
    <n v="7049"/>
  </r>
  <r>
    <n v="18"/>
    <x v="17"/>
    <s v="c.crossman@mail.com"/>
    <n v="17"/>
    <n v="33701"/>
    <n v="27.770949999999999"/>
    <n v="-82.639309999999995"/>
    <x v="0"/>
    <n v="2517"/>
  </r>
  <r>
    <n v="19"/>
    <x v="18"/>
    <s v="c.sanroman@gmail.com"/>
    <n v="25"/>
    <n v="8540"/>
    <n v="40.357430000000001"/>
    <n v="-74.64922"/>
    <x v="2"/>
    <n v="5557"/>
  </r>
  <r>
    <n v="20"/>
    <x v="19"/>
    <s v="c.powers@hotmail.com"/>
    <n v="18"/>
    <n v="33607"/>
    <n v="27.963789999999999"/>
    <n v="-82.495369999999994"/>
    <x v="0"/>
    <n v="5980"/>
  </r>
  <r>
    <n v="21"/>
    <x v="20"/>
    <s v="c.gwyn@yahoo.com"/>
    <n v="28"/>
    <n v="7070"/>
    <n v="40.828919999999997"/>
    <n v="-74.110640000000004"/>
    <x v="2"/>
    <n v="4115"/>
  </r>
  <r>
    <n v="22"/>
    <x v="21"/>
    <s v="c.coplin@outlook.com"/>
    <n v="20"/>
    <n v="2142"/>
    <n v="42.362290000000002"/>
    <n v="-71.084119999999999"/>
    <x v="3"/>
    <n v="9325"/>
  </r>
  <r>
    <n v="23"/>
    <x v="22"/>
    <s v="c.romain@aol.com"/>
    <n v="32"/>
    <n v="13492"/>
    <n v="43.11627"/>
    <n v="-75.311819999999997"/>
    <x v="2"/>
    <n v="5155"/>
  </r>
  <r>
    <n v="24"/>
    <x v="23"/>
    <s v="c.cataldo@mail.com"/>
    <n v="26"/>
    <n v="8075"/>
    <n v="40.029359999999997"/>
    <n v="-74.954099999999997"/>
    <x v="2"/>
    <n v="5666"/>
  </r>
  <r>
    <n v="25"/>
    <x v="24"/>
    <s v="c.claire@gmail.com"/>
    <n v="30"/>
    <n v="10128"/>
    <n v="40.781889999999997"/>
    <n v="-73.950389999999999"/>
    <x v="2"/>
    <n v="6136"/>
  </r>
  <r>
    <n v="26"/>
    <x v="25"/>
    <s v="c.collie@hotmail.com"/>
    <n v="35"/>
    <n v="75016"/>
    <n v="32.76726"/>
    <n v="-96.777619999999999"/>
    <x v="0"/>
    <n v="3943"/>
  </r>
  <r>
    <n v="27"/>
    <x v="26"/>
    <s v="d.emmerich@yahoo.com"/>
    <n v="24"/>
    <n v="7014"/>
    <n v="40.834040000000002"/>
    <n v="-74.136690000000002"/>
    <x v="2"/>
    <n v="2366"/>
  </r>
  <r>
    <n v="28"/>
    <x v="27"/>
    <s v="d.hulin@outlook.com"/>
    <n v="9"/>
    <n v="91411"/>
    <n v="34.1783"/>
    <n v="-118.45858"/>
    <x v="1"/>
    <n v="3519"/>
  </r>
  <r>
    <n v="29"/>
    <x v="28"/>
    <s v="d.client@aol.com"/>
    <n v="33"/>
    <n v="75240"/>
    <n v="32.938769999999998"/>
    <n v="-96.785430000000005"/>
    <x v="0"/>
    <n v="5875"/>
  </r>
  <r>
    <n v="30"/>
    <x v="29"/>
    <s v="d.trusty@mail.com"/>
    <n v="14"/>
    <n v="33334"/>
    <n v="26.18216"/>
    <n v="-80.133409999999998"/>
    <x v="0"/>
    <n v="8128"/>
  </r>
  <r>
    <n v="31"/>
    <x v="30"/>
    <s v="d.kinkade@gmail.com"/>
    <n v="24"/>
    <n v="7014"/>
    <n v="40.834040000000002"/>
    <n v="-74.136690000000002"/>
    <x v="2"/>
    <n v="6997"/>
  </r>
  <r>
    <n v="32"/>
    <x v="31"/>
    <s v="d.mcmunn@hotmail.com"/>
    <n v="15"/>
    <n v="33166"/>
    <n v="25.824719999999999"/>
    <n v="-80.304760000000002"/>
    <x v="0"/>
    <n v="5979"/>
  </r>
  <r>
    <n v="33"/>
    <x v="32"/>
    <s v="d.swinson@yahoo.com"/>
    <n v="11"/>
    <n v="6716"/>
    <n v="41.59478"/>
    <n v="-72.978890000000007"/>
    <x v="3"/>
    <n v="11668"/>
  </r>
  <r>
    <n v="34"/>
    <x v="33"/>
    <s v="d.dopp@outlook.com"/>
    <n v="36"/>
    <n v="78219"/>
    <n v="29.448370000000001"/>
    <n v="-98.399079999999998"/>
    <x v="0"/>
    <n v="7349"/>
  </r>
  <r>
    <n v="35"/>
    <x v="34"/>
    <s v="d.do@aol.com"/>
    <n v="2"/>
    <n v="85254"/>
    <n v="33.6175"/>
    <n v="-111.95416"/>
    <x v="1"/>
    <n v="6848"/>
  </r>
  <r>
    <n v="36"/>
    <x v="35"/>
    <s v="e.heidenreich@mail.com"/>
    <n v="24"/>
    <n v="7014"/>
    <n v="40.834040000000002"/>
    <n v="-74.136690000000002"/>
    <x v="2"/>
    <n v="1522"/>
  </r>
  <r>
    <n v="37"/>
    <x v="36"/>
    <s v="e.mcquillen@gmail.com"/>
    <n v="34"/>
    <n v="77269"/>
    <n v="29.83399"/>
    <n v="-95.434240000000003"/>
    <x v="0"/>
    <n v="3600"/>
  </r>
  <r>
    <n v="38"/>
    <x v="37"/>
    <s v="e.littell@hotmail.com"/>
    <n v="27"/>
    <n v="7662"/>
    <n v="40.906550000000003"/>
    <n v="-74.077969999999993"/>
    <x v="2"/>
    <n v="4177"/>
  </r>
  <r>
    <n v="39"/>
    <x v="38"/>
    <s v="e.manney@yahoo.com"/>
    <n v="25"/>
    <n v="8543"/>
    <n v="40.280529999999999"/>
    <n v="-74.712010000000006"/>
    <x v="2"/>
    <n v="3237"/>
  </r>
  <r>
    <n v="40"/>
    <x v="39"/>
    <s v="e.eddinger@outlook.com"/>
    <n v="5"/>
    <n v="91325"/>
    <n v="34.235050000000001"/>
    <n v="-118.51766000000001"/>
    <x v="1"/>
    <n v="1916"/>
  </r>
  <r>
    <n v="41"/>
    <x v="40"/>
    <s v="e.rea@aol.com"/>
    <n v="21"/>
    <n v="39703"/>
    <n v="33.484139999999996"/>
    <n v="-88.283990000000003"/>
    <x v="0"/>
    <n v="3984"/>
  </r>
  <r>
    <n v="42"/>
    <x v="41"/>
    <s v="e.mangual@mail.com"/>
    <n v="34"/>
    <n v="77269"/>
    <n v="29.83399"/>
    <n v="-95.434240000000003"/>
    <x v="0"/>
    <n v="342"/>
  </r>
  <r>
    <n v="43"/>
    <x v="42"/>
    <s v="e.eshelman@gmail.com"/>
    <n v="5"/>
    <n v="91325"/>
    <n v="34.235050000000001"/>
    <n v="-118.51766000000001"/>
    <x v="1"/>
    <n v="2184"/>
  </r>
  <r>
    <n v="44"/>
    <x v="43"/>
    <s v="e.gordan@hotmail.com"/>
    <n v="4"/>
    <n v="90067"/>
    <n v="34.056699999999999"/>
    <n v="-118.41182999999999"/>
    <x v="1"/>
    <n v="2186"/>
  </r>
  <r>
    <n v="45"/>
    <x v="44"/>
    <s v="e.ellery@yahoo.com"/>
    <n v="19"/>
    <n v="2127"/>
    <n v="42.334989999999998"/>
    <n v="-71.04562"/>
    <x v="3"/>
    <n v="5516"/>
  </r>
  <r>
    <n v="46"/>
    <x v="45"/>
    <s v="f.cumbo@outlook.com"/>
    <n v="1"/>
    <n v="85021"/>
    <n v="33.559429999999999"/>
    <n v="-112.09281"/>
    <x v="1"/>
    <n v="3507"/>
  </r>
  <r>
    <n v="47"/>
    <x v="46"/>
    <s v="f.finchum@aol.com"/>
    <n v="1"/>
    <n v="85021"/>
    <n v="33.559429999999999"/>
    <n v="-112.09281"/>
    <x v="1"/>
    <n v="7602"/>
  </r>
  <r>
    <n v="48"/>
    <x v="47"/>
    <s v="f.flores@mail.com"/>
    <n v="6"/>
    <n v="93035"/>
    <n v="34.179299999999998"/>
    <n v="-119.22189"/>
    <x v="1"/>
    <n v="4644"/>
  </r>
  <r>
    <n v="49"/>
    <x v="48"/>
    <s v="g.stickney@gmail.com"/>
    <n v="22"/>
    <n v="39216"/>
    <n v="32.33473"/>
    <n v="-90.169330000000002"/>
    <x v="0"/>
    <n v="5799"/>
  </r>
  <r>
    <n v="50"/>
    <x v="49"/>
    <s v="g.junkin@hotmail.com"/>
    <n v="33"/>
    <n v="75240"/>
    <n v="32.938769999999998"/>
    <n v="-96.785430000000005"/>
    <x v="0"/>
    <n v="4014"/>
  </r>
  <r>
    <n v="51"/>
    <x v="50"/>
    <s v="g.hasan@yahoo.com"/>
    <n v="8"/>
    <n v="93105"/>
    <n v="34.440049999999999"/>
    <n v="-119.75496"/>
    <x v="1"/>
    <n v="4131"/>
  </r>
  <r>
    <n v="52"/>
    <x v="51"/>
    <s v="g.going@outlook.com"/>
    <n v="13"/>
    <n v="6095"/>
    <n v="41.857300000000002"/>
    <n v="-72.666539999999998"/>
    <x v="3"/>
    <n v="2233"/>
  </r>
  <r>
    <n v="53"/>
    <x v="52"/>
    <s v="g.jelks@aol.com"/>
    <n v="18"/>
    <n v="33613"/>
    <n v="28.07799"/>
    <n v="-82.449889999999996"/>
    <x v="0"/>
    <n v="4983"/>
  </r>
  <r>
    <n v="54"/>
    <x v="53"/>
    <s v="h.burell@mail.com"/>
    <n v="18"/>
    <n v="33607"/>
    <n v="27.963789999999999"/>
    <n v="-82.495369999999994"/>
    <x v="0"/>
    <n v="4937"/>
  </r>
  <r>
    <n v="55"/>
    <x v="54"/>
    <s v="h.hugh@gmail.com"/>
    <n v="23"/>
    <n v="8404"/>
    <n v="39.5092"/>
    <n v="-74.608549999999994"/>
    <x v="2"/>
    <n v="5476"/>
  </r>
  <r>
    <n v="56"/>
    <x v="55"/>
    <s v="h.hinrichs@hotmail.com"/>
    <n v="21"/>
    <n v="39703"/>
    <n v="33.484139999999996"/>
    <n v="-88.283990000000003"/>
    <x v="0"/>
    <n v="6122"/>
  </r>
  <r>
    <n v="57"/>
    <x v="56"/>
    <s v="i.iversen@yahoo.com"/>
    <n v="10"/>
    <n v="6106"/>
    <n v="41.746899999999997"/>
    <n v="-72.695930000000004"/>
    <x v="3"/>
    <n v="4635"/>
  </r>
  <r>
    <n v="58"/>
    <x v="57"/>
    <s v="i.isom@outlook.com"/>
    <n v="17"/>
    <n v="33701"/>
    <n v="27.770949999999999"/>
    <n v="-82.639309999999995"/>
    <x v="0"/>
    <n v="10635"/>
  </r>
  <r>
    <n v="59"/>
    <x v="58"/>
    <s v="j.vallo@aol.com"/>
    <n v="31"/>
    <n v="14646"/>
    <n v="43.286020000000001"/>
    <n v="-77.684259999999995"/>
    <x v="2"/>
    <n v="5812"/>
  </r>
  <r>
    <n v="60"/>
    <x v="59"/>
    <s v="j.jhonson@mail.com"/>
    <n v="32"/>
    <n v="13492"/>
    <n v="43.11627"/>
    <n v="-75.311819999999997"/>
    <x v="2"/>
    <n v="2255"/>
  </r>
  <r>
    <n v="61"/>
    <x v="60"/>
    <s v="j.joynes@gmail.com"/>
    <n v="8"/>
    <n v="93101"/>
    <n v="34.420160000000003"/>
    <n v="-119.70650000000001"/>
    <x v="1"/>
    <n v="1339"/>
  </r>
  <r>
    <n v="62"/>
    <x v="61"/>
    <s v="j.chavez@hotmail.com"/>
    <n v="23"/>
    <n v="8404"/>
    <n v="39.5092"/>
    <n v="-74.608549999999994"/>
    <x v="2"/>
    <n v="3615"/>
  </r>
  <r>
    <n v="63"/>
    <x v="62"/>
    <s v="j.tucker@yahoo.com"/>
    <n v="14"/>
    <n v="33301"/>
    <n v="26.121110000000002"/>
    <n v="-80.131870000000006"/>
    <x v="0"/>
    <n v="3274"/>
  </r>
  <r>
    <n v="64"/>
    <x v="63"/>
    <s v="j.escoto@outlook.com"/>
    <n v="3"/>
    <n v="90035"/>
    <n v="34.052660000000003"/>
    <n v="-118.38531"/>
    <x v="1"/>
    <n v="2361"/>
  </r>
  <r>
    <n v="65"/>
    <x v="64"/>
    <s v="j.sawicki@aol.com"/>
    <n v="12"/>
    <n v="6516"/>
    <n v="41.27214"/>
    <n v="-72.964960000000005"/>
    <x v="3"/>
    <n v="534"/>
  </r>
  <r>
    <n v="66"/>
    <x v="65"/>
    <s v="j.hard@mail.com"/>
    <n v="16"/>
    <n v="32593"/>
    <n v="30.614280000000001"/>
    <n v="-87.275769999999994"/>
    <x v="0"/>
    <n v="682"/>
  </r>
  <r>
    <n v="67"/>
    <x v="66"/>
    <s v="k.killian@gmail.com"/>
    <n v="15"/>
    <n v="33166"/>
    <n v="25.824719999999999"/>
    <n v="-80.304760000000002"/>
    <x v="0"/>
    <n v="5839"/>
  </r>
  <r>
    <n v="68"/>
    <x v="67"/>
    <s v="k.tully@hotmail.com"/>
    <n v="38"/>
    <n v="98122"/>
    <n v="47.61157"/>
    <n v="-122.30406000000001"/>
    <x v="1"/>
    <n v="1702"/>
  </r>
  <r>
    <n v="69"/>
    <x v="68"/>
    <s v="k.koser@yahoo.com"/>
    <n v="19"/>
    <n v="2127"/>
    <n v="42.334989999999998"/>
    <n v="-71.04562"/>
    <x v="3"/>
    <n v="2513"/>
  </r>
  <r>
    <n v="70"/>
    <x v="69"/>
    <s v="k.lisle@outlook.com"/>
    <n v="19"/>
    <n v="2127"/>
    <n v="42.334989999999998"/>
    <n v="-71.04562"/>
    <x v="3"/>
    <n v="1729"/>
  </r>
  <r>
    <n v="71"/>
    <x v="70"/>
    <s v="k.kircher@aol.com"/>
    <n v="22"/>
    <n v="39216"/>
    <n v="32.33473"/>
    <n v="-90.169330000000002"/>
    <x v="0"/>
    <n v="4646"/>
  </r>
  <r>
    <n v="72"/>
    <x v="71"/>
    <s v="k.munoz@mail.com"/>
    <n v="16"/>
    <n v="32506"/>
    <n v="30.408799999999999"/>
    <n v="-87.319190000000006"/>
    <x v="0"/>
    <n v="9838"/>
  </r>
  <r>
    <n v="73"/>
    <x v="72"/>
    <s v="k.pearcy@gmail.com"/>
    <n v="5"/>
    <n v="91325"/>
    <n v="34.235050000000001"/>
    <n v="-118.51766000000001"/>
    <x v="1"/>
    <n v="5326"/>
  </r>
  <r>
    <n v="74"/>
    <x v="73"/>
    <s v="k.serrato@hotmail.com"/>
    <n v="4"/>
    <n v="90039"/>
    <n v="34.110419999999998"/>
    <n v="-118.25832"/>
    <x v="1"/>
    <n v="8865"/>
  </r>
  <r>
    <n v="75"/>
    <x v="74"/>
    <s v="k.koh@yahoo.com"/>
    <n v="29"/>
    <n v="11378"/>
    <n v="40.724089999999997"/>
    <n v="-73.902709999999999"/>
    <x v="2"/>
    <n v="3368"/>
  </r>
  <r>
    <n v="76"/>
    <x v="75"/>
    <s v="k.demaria@outlook.com"/>
    <n v="20"/>
    <n v="2142"/>
    <n v="42.362290000000002"/>
    <n v="-71.084119999999999"/>
    <x v="3"/>
    <n v="6974"/>
  </r>
  <r>
    <n v="77"/>
    <x v="76"/>
    <s v="k.danek@aol.com"/>
    <n v="2"/>
    <n v="85254"/>
    <n v="33.6175"/>
    <n v="-111.95416"/>
    <x v="1"/>
    <n v="6614"/>
  </r>
  <r>
    <n v="78"/>
    <x v="77"/>
    <s v="l.rollison@mail.com"/>
    <n v="12"/>
    <n v="6516"/>
    <n v="41.27214"/>
    <n v="-72.964960000000005"/>
    <x v="3"/>
    <n v="9930"/>
  </r>
  <r>
    <n v="79"/>
    <x v="78"/>
    <s v="l.ladue@gmail.com"/>
    <n v="1"/>
    <n v="85021"/>
    <n v="33.559429999999999"/>
    <n v="-112.09281"/>
    <x v="1"/>
    <n v="3017"/>
  </r>
  <r>
    <n v="80"/>
    <x v="79"/>
    <s v="l.mynatt@hotmail.com"/>
    <n v="38"/>
    <n v="98122"/>
    <n v="47.61157"/>
    <n v="-122.30406000000001"/>
    <x v="1"/>
    <n v="3830"/>
  </r>
  <r>
    <n v="81"/>
    <x v="80"/>
    <s v="l.lockhart@yahoo.com"/>
    <n v="36"/>
    <n v="78219"/>
    <n v="29.448370000000001"/>
    <n v="-98.399079999999998"/>
    <x v="0"/>
    <n v="2571"/>
  </r>
  <r>
    <n v="82"/>
    <x v="81"/>
    <s v="l.rue@outlook.com"/>
    <n v="6"/>
    <n v="93035"/>
    <n v="34.179299999999998"/>
    <n v="-119.22189"/>
    <x v="1"/>
    <n v="2528"/>
  </r>
  <r>
    <n v="83"/>
    <x v="82"/>
    <s v="l.weatherford@aol.com"/>
    <n v="9"/>
    <n v="91411"/>
    <n v="34.1783"/>
    <n v="-118.45858"/>
    <x v="1"/>
    <n v="9612"/>
  </r>
  <r>
    <n v="84"/>
    <x v="83"/>
    <s v="l.muncy@mail.com"/>
    <n v="3"/>
    <n v="90212"/>
    <n v="34.060850000000002"/>
    <n v="-118.40191"/>
    <x v="1"/>
    <n v="7168"/>
  </r>
  <r>
    <n v="85"/>
    <x v="84"/>
    <s v="l.layton@gmail.com"/>
    <n v="10"/>
    <n v="6144"/>
    <n v="41.79177"/>
    <n v="-72.718829999999997"/>
    <x v="3"/>
    <n v="3096"/>
  </r>
  <r>
    <n v="86"/>
    <x v="85"/>
    <s v="l.luck@hotmail.com"/>
    <n v="13"/>
    <n v="6095"/>
    <n v="41.857300000000002"/>
    <n v="-72.666539999999998"/>
    <x v="3"/>
    <n v="3452"/>
  </r>
  <r>
    <n v="87"/>
    <x v="86"/>
    <s v="l.loyola@yahoo.com"/>
    <n v="2"/>
    <n v="85254"/>
    <n v="33.6175"/>
    <n v="-111.95416"/>
    <x v="1"/>
    <n v="3948"/>
  </r>
  <r>
    <n v="88"/>
    <x v="87"/>
    <s v="m.daniell@outlook.com"/>
    <n v="20"/>
    <n v="2142"/>
    <n v="42.362290000000002"/>
    <n v="-71.084119999999999"/>
    <x v="3"/>
    <n v="1815"/>
  </r>
  <r>
    <n v="89"/>
    <x v="88"/>
    <s v="m.moler@aol.com"/>
    <n v="15"/>
    <n v="33166"/>
    <n v="25.824719999999999"/>
    <n v="-80.304760000000002"/>
    <x v="0"/>
    <n v="2960"/>
  </r>
  <r>
    <n v="90"/>
    <x v="89"/>
    <s v="m.wengert@mail.com"/>
    <n v="3"/>
    <n v="90212"/>
    <n v="34.060850000000002"/>
    <n v="-118.40191"/>
    <x v="1"/>
    <n v="1581"/>
  </r>
  <r>
    <n v="91"/>
    <x v="90"/>
    <s v="m.bolt@gmail.com"/>
    <n v="12"/>
    <n v="6516"/>
    <n v="41.27214"/>
    <n v="-72.964960000000005"/>
    <x v="3"/>
    <n v="374"/>
  </r>
  <r>
    <n v="92"/>
    <x v="91"/>
    <s v="m.godin@hotmail.com"/>
    <n v="26"/>
    <n v="8075"/>
    <n v="40.029359999999997"/>
    <n v="-74.954099999999997"/>
    <x v="2"/>
    <n v="321"/>
  </r>
  <r>
    <n v="93"/>
    <x v="92"/>
    <s v="m.chiodo@yahoo.com"/>
    <n v="11"/>
    <n v="6706"/>
    <n v="41.537889999999997"/>
    <n v="-73.028270000000006"/>
    <x v="3"/>
    <n v="8510"/>
  </r>
  <r>
    <n v="94"/>
    <x v="93"/>
    <s v="m.manners@outlook.com"/>
    <n v="28"/>
    <n v="6716"/>
    <n v="41.59478"/>
    <n v="-72.978890000000007"/>
    <x v="2"/>
    <n v="2766"/>
  </r>
  <r>
    <n v="95"/>
    <x v="94"/>
    <s v="m.madonia@aol.com"/>
    <n v="9"/>
    <n v="7070"/>
    <n v="40.828919999999997"/>
    <n v="-74.110640000000004"/>
    <x v="1"/>
    <n v="4202"/>
  </r>
  <r>
    <n v="96"/>
    <x v="95"/>
    <s v="m.henslee@mail.com"/>
    <n v="21"/>
    <n v="91406"/>
    <n v="34.20149"/>
    <n v="-118.49375999999999"/>
    <x v="0"/>
    <n v="2240"/>
  </r>
  <r>
    <n v="97"/>
    <x v="96"/>
    <s v="m.doughtie@gmail.com"/>
    <n v="22"/>
    <n v="39703"/>
    <n v="33.484139999999996"/>
    <n v="-88.283990000000003"/>
    <x v="0"/>
    <n v="7657"/>
  </r>
  <r>
    <n v="98"/>
    <x v="97"/>
    <s v="m.mumm@hotmail.com"/>
    <n v="37"/>
    <n v="39211"/>
    <n v="32.370539999999998"/>
    <n v="-90.1297"/>
    <x v="1"/>
    <n v="5015"/>
  </r>
  <r>
    <n v="99"/>
    <x v="98"/>
    <s v="n.nolette@yahoo.com"/>
    <n v="8"/>
    <n v="98003"/>
    <n v="47.311070000000001"/>
    <n v="-122.31188"/>
    <x v="1"/>
    <n v="6071"/>
  </r>
  <r>
    <n v="100"/>
    <x v="99"/>
    <s v="n.grandberry@outlook.com"/>
    <n v="6"/>
    <n v="93105"/>
    <n v="34.440049999999999"/>
    <n v="-119.75496"/>
    <x v="1"/>
    <n v="90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55494-3535-47AC-BFE0-A92FA831F52B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6" firstHeaderRow="1" firstDataRow="2" firstDataCol="1"/>
  <pivotFields count="9">
    <pivotField showAll="0"/>
    <pivotField axis="axisRow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3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 sortType="ascending">
      <items count="5">
        <item h="1" x="2"/>
        <item h="1" x="3"/>
        <item h="1" x="0"/>
        <item x="1"/>
        <item t="default"/>
      </items>
    </pivotField>
    <pivotField dataField="1" showAll="0"/>
  </pivotFields>
  <rowFields count="1">
    <field x="1"/>
  </rowFields>
  <rowItems count="32">
    <i>
      <x v="9"/>
    </i>
    <i>
      <x v="82"/>
    </i>
    <i>
      <x v="99"/>
    </i>
    <i>
      <x v="73"/>
    </i>
    <i>
      <x v="14"/>
    </i>
    <i>
      <x v="46"/>
    </i>
    <i>
      <x v="83"/>
    </i>
    <i>
      <x v="16"/>
    </i>
    <i>
      <x v="34"/>
    </i>
    <i>
      <x v="76"/>
    </i>
    <i>
      <x v="98"/>
    </i>
    <i>
      <x v="72"/>
    </i>
    <i>
      <x v="97"/>
    </i>
    <i>
      <x v="47"/>
    </i>
    <i>
      <x v="94"/>
    </i>
    <i>
      <x v="50"/>
    </i>
    <i>
      <x v="8"/>
    </i>
    <i>
      <x v="86"/>
    </i>
    <i>
      <x v="79"/>
    </i>
    <i>
      <x v="27"/>
    </i>
    <i>
      <x v="45"/>
    </i>
    <i>
      <x v="1"/>
    </i>
    <i>
      <x v="78"/>
    </i>
    <i>
      <x v="81"/>
    </i>
    <i>
      <x v="63"/>
    </i>
    <i>
      <x v="43"/>
    </i>
    <i>
      <x v="42"/>
    </i>
    <i>
      <x v="39"/>
    </i>
    <i>
      <x v="67"/>
    </i>
    <i>
      <x v="89"/>
    </i>
    <i>
      <x v="60"/>
    </i>
    <i t="grand">
      <x/>
    </i>
  </rowItems>
  <colFields count="1">
    <field x="7"/>
  </colFields>
  <colItems count="2">
    <i>
      <x v="3"/>
    </i>
    <i t="grand">
      <x/>
    </i>
  </colItems>
  <dataFields count="1">
    <dataField name="Sum of Price 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0D856-3245-4E7F-A08D-579DE3039292}" name="Table1" displayName="Table1" ref="A1:G101" totalsRowShown="0" headerRowDxfId="13" dataDxfId="14" headerRowBorderDxfId="23" tableBorderDxfId="24" totalsRowBorderDxfId="22">
  <autoFilter ref="A1:G101" xr:uid="{0790D856-3245-4E7F-A08D-579DE3039292}"/>
  <tableColumns count="7">
    <tableColumn id="1" xr3:uid="{529B3B94-8ABC-40EF-ACF1-690B04315065}" name="Customer_ID" dataDxfId="21"/>
    <tableColumn id="2" xr3:uid="{669FD671-6E80-4524-893C-69AD61087A22}" name="Customer_Name" dataDxfId="20"/>
    <tableColumn id="3" xr3:uid="{CC2816DB-C0A5-442B-812D-7BC8804D23E3}" name="Customer_Email" dataDxfId="19"/>
    <tableColumn id="4" xr3:uid="{87DB2F56-5C92-42D7-93A2-93912B8B2DCF}" name="City_ID" dataDxfId="18"/>
    <tableColumn id="5" xr3:uid="{E78DE7E6-5AE8-4549-ADA6-D5BF00300071}" name="Customer_Zipcode" dataDxfId="17"/>
    <tableColumn id="6" xr3:uid="{5589415E-E418-45F8-8787-58DB398963CE}" name="Latitude" dataDxfId="16"/>
    <tableColumn id="7" xr3:uid="{25E33241-AEE2-49C9-ACB7-282D2A8F8C00}" name="Longitude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7E2A8-6C6E-462F-B1F6-9231CCF1C338}" name="Table2" displayName="Table2" ref="A1:I2156" totalsRowShown="0" headerRowDxfId="0" dataDxfId="1" headerRowBorderDxfId="11" tableBorderDxfId="12">
  <autoFilter ref="A1:I2156" xr:uid="{1EE7E2A8-6C6E-462F-B1F6-9231CCF1C338}"/>
  <tableColumns count="9">
    <tableColumn id="1" xr3:uid="{747074AB-CF4A-4614-AF24-72CF58FAF4AB}" name="Day" dataDxfId="10"/>
    <tableColumn id="2" xr3:uid="{C1182F49-E920-434B-ADFA-4A3B4DFA821D}" name="Order_ID" dataDxfId="9"/>
    <tableColumn id="3" xr3:uid="{F3E680A1-19B3-45BD-9086-0F045FDB531F}" name="Item_ID" dataDxfId="8"/>
    <tableColumn id="4" xr3:uid="{FFA77A4A-646A-40D1-BABD-2DC627B2CBE8}" name="Customer_ID" dataDxfId="7"/>
    <tableColumn id="5" xr3:uid="{C5EBF7FD-7D01-4ED5-AD84-C872B199DECE}" name="Store_ID" dataDxfId="6"/>
    <tableColumn id="6" xr3:uid="{376B6CDC-EA9F-4976-BB70-3E8F08B42096}" name="Channel_ID" dataDxfId="5"/>
    <tableColumn id="7" xr3:uid="{54000389-7999-449D-9BCD-3DE751416B8F}" name="Unit" dataDxfId="4"/>
    <tableColumn id="8" xr3:uid="{7CBD7E9F-21A4-478B-BE81-3CE760E9CEBC}" name="Order_Price" dataDxfId="3"/>
    <tableColumn id="9" xr3:uid="{C563C61C-EFE8-4A4A-8B32-6DE176A1027E}" name="Delivery_Charge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208317-81C8-413C-9EAF-DD480E0C0DB1}" name="Table3" displayName="Table3" ref="J1:J2156" totalsRowShown="0">
  <autoFilter ref="J1:J2156" xr:uid="{DA208317-81C8-413C-9EAF-DD480E0C0DB1}"/>
  <tableColumns count="1">
    <tableColumn id="1" xr3:uid="{6A8ADF7C-6CF0-4E7B-9204-EAF406CDD9A9}" name="Name">
      <calculatedColumnFormula>_xlfn.XLOOKUP(Table2[[#This Row],[Customer_ID]],Table1[Customer_ID],Table1[Customer_Name])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E368-408A-46CE-A81A-09350458D9AF}">
  <dimension ref="A3:C36"/>
  <sheetViews>
    <sheetView tabSelected="1" workbookViewId="0">
      <selection activeCell="B5" sqref="B5:B36"/>
    </sheetView>
  </sheetViews>
  <sheetFormatPr defaultRowHeight="14.5" x14ac:dyDescent="0.35"/>
  <cols>
    <col min="1" max="1" width="19" bestFit="1" customWidth="1"/>
    <col min="2" max="2" width="15.26953125" bestFit="1" customWidth="1"/>
    <col min="3" max="3" width="10.7265625" bestFit="1" customWidth="1"/>
    <col min="4" max="5" width="6.81640625" bestFit="1" customWidth="1"/>
    <col min="6" max="6" width="10.7265625" bestFit="1" customWidth="1"/>
  </cols>
  <sheetData>
    <row r="3" spans="1:3" x14ac:dyDescent="0.35">
      <c r="A3" s="11" t="s">
        <v>900</v>
      </c>
      <c r="B3" s="11" t="s">
        <v>896</v>
      </c>
    </row>
    <row r="4" spans="1:3" x14ac:dyDescent="0.35">
      <c r="A4" s="11" t="s">
        <v>898</v>
      </c>
      <c r="B4" t="s">
        <v>221</v>
      </c>
      <c r="C4" t="s">
        <v>897</v>
      </c>
    </row>
    <row r="5" spans="1:3" x14ac:dyDescent="0.35">
      <c r="A5" s="12" t="s">
        <v>25</v>
      </c>
      <c r="B5" s="13">
        <v>12125</v>
      </c>
      <c r="C5" s="13">
        <v>12125</v>
      </c>
    </row>
    <row r="6" spans="1:3" x14ac:dyDescent="0.35">
      <c r="A6" s="12" t="s">
        <v>171</v>
      </c>
      <c r="B6" s="13">
        <v>9612</v>
      </c>
      <c r="C6" s="13">
        <v>9612</v>
      </c>
    </row>
    <row r="7" spans="1:3" x14ac:dyDescent="0.35">
      <c r="A7" s="12" t="s">
        <v>205</v>
      </c>
      <c r="B7" s="13">
        <v>9044</v>
      </c>
      <c r="C7" s="13">
        <v>9044</v>
      </c>
    </row>
    <row r="8" spans="1:3" x14ac:dyDescent="0.35">
      <c r="A8" s="12" t="s">
        <v>153</v>
      </c>
      <c r="B8" s="13">
        <v>8865</v>
      </c>
      <c r="C8" s="13">
        <v>8865</v>
      </c>
    </row>
    <row r="9" spans="1:3" x14ac:dyDescent="0.35">
      <c r="A9" s="12" t="s">
        <v>35</v>
      </c>
      <c r="B9" s="13">
        <v>7981</v>
      </c>
      <c r="C9" s="13">
        <v>7981</v>
      </c>
    </row>
    <row r="10" spans="1:3" x14ac:dyDescent="0.35">
      <c r="A10" s="12" t="s">
        <v>99</v>
      </c>
      <c r="B10" s="13">
        <v>7602</v>
      </c>
      <c r="C10" s="13">
        <v>7602</v>
      </c>
    </row>
    <row r="11" spans="1:3" x14ac:dyDescent="0.35">
      <c r="A11" s="12" t="s">
        <v>173</v>
      </c>
      <c r="B11" s="13">
        <v>7168</v>
      </c>
      <c r="C11" s="13">
        <v>7168</v>
      </c>
    </row>
    <row r="12" spans="1:3" x14ac:dyDescent="0.35">
      <c r="A12" s="12" t="s">
        <v>39</v>
      </c>
      <c r="B12" s="13">
        <v>7049</v>
      </c>
      <c r="C12" s="13">
        <v>7049</v>
      </c>
    </row>
    <row r="13" spans="1:3" x14ac:dyDescent="0.35">
      <c r="A13" s="12" t="s">
        <v>75</v>
      </c>
      <c r="B13" s="13">
        <v>6848</v>
      </c>
      <c r="C13" s="13">
        <v>6848</v>
      </c>
    </row>
    <row r="14" spans="1:3" x14ac:dyDescent="0.35">
      <c r="A14" s="12" t="s">
        <v>159</v>
      </c>
      <c r="B14" s="13">
        <v>6614</v>
      </c>
      <c r="C14" s="13">
        <v>6614</v>
      </c>
    </row>
    <row r="15" spans="1:3" x14ac:dyDescent="0.35">
      <c r="A15" s="12" t="s">
        <v>203</v>
      </c>
      <c r="B15" s="13">
        <v>6071</v>
      </c>
      <c r="C15" s="13">
        <v>6071</v>
      </c>
    </row>
    <row r="16" spans="1:3" x14ac:dyDescent="0.35">
      <c r="A16" s="12" t="s">
        <v>151</v>
      </c>
      <c r="B16" s="13">
        <v>5326</v>
      </c>
      <c r="C16" s="13">
        <v>5326</v>
      </c>
    </row>
    <row r="17" spans="1:3" x14ac:dyDescent="0.35">
      <c r="A17" s="12" t="s">
        <v>201</v>
      </c>
      <c r="B17" s="13">
        <v>5015</v>
      </c>
      <c r="C17" s="13">
        <v>5015</v>
      </c>
    </row>
    <row r="18" spans="1:3" x14ac:dyDescent="0.35">
      <c r="A18" s="12" t="s">
        <v>101</v>
      </c>
      <c r="B18" s="13">
        <v>4644</v>
      </c>
      <c r="C18" s="13">
        <v>4644</v>
      </c>
    </row>
    <row r="19" spans="1:3" x14ac:dyDescent="0.35">
      <c r="A19" s="12" t="s">
        <v>195</v>
      </c>
      <c r="B19" s="13">
        <v>4202</v>
      </c>
      <c r="C19" s="13">
        <v>4202</v>
      </c>
    </row>
    <row r="20" spans="1:3" x14ac:dyDescent="0.35">
      <c r="A20" s="12" t="s">
        <v>107</v>
      </c>
      <c r="B20" s="13">
        <v>4131</v>
      </c>
      <c r="C20" s="13">
        <v>4131</v>
      </c>
    </row>
    <row r="21" spans="1:3" x14ac:dyDescent="0.35">
      <c r="A21" s="12" t="s">
        <v>23</v>
      </c>
      <c r="B21" s="13">
        <v>4072</v>
      </c>
      <c r="C21" s="13">
        <v>4072</v>
      </c>
    </row>
    <row r="22" spans="1:3" x14ac:dyDescent="0.35">
      <c r="A22" s="12" t="s">
        <v>179</v>
      </c>
      <c r="B22" s="13">
        <v>3948</v>
      </c>
      <c r="C22" s="13">
        <v>3948</v>
      </c>
    </row>
    <row r="23" spans="1:3" x14ac:dyDescent="0.35">
      <c r="A23" s="12" t="s">
        <v>165</v>
      </c>
      <c r="B23" s="13">
        <v>3830</v>
      </c>
      <c r="C23" s="13">
        <v>3830</v>
      </c>
    </row>
    <row r="24" spans="1:3" x14ac:dyDescent="0.35">
      <c r="A24" s="12" t="s">
        <v>61</v>
      </c>
      <c r="B24" s="13">
        <v>3519</v>
      </c>
      <c r="C24" s="13">
        <v>3519</v>
      </c>
    </row>
    <row r="25" spans="1:3" x14ac:dyDescent="0.35">
      <c r="A25" s="12" t="s">
        <v>97</v>
      </c>
      <c r="B25" s="13">
        <v>3507</v>
      </c>
      <c r="C25" s="13">
        <v>3507</v>
      </c>
    </row>
    <row r="26" spans="1:3" x14ac:dyDescent="0.35">
      <c r="A26" s="12" t="s">
        <v>9</v>
      </c>
      <c r="B26" s="13">
        <v>3191</v>
      </c>
      <c r="C26" s="13">
        <v>3191</v>
      </c>
    </row>
    <row r="27" spans="1:3" x14ac:dyDescent="0.35">
      <c r="A27" s="12" t="s">
        <v>163</v>
      </c>
      <c r="B27" s="13">
        <v>3017</v>
      </c>
      <c r="C27" s="13">
        <v>3017</v>
      </c>
    </row>
    <row r="28" spans="1:3" x14ac:dyDescent="0.35">
      <c r="A28" s="12" t="s">
        <v>169</v>
      </c>
      <c r="B28" s="13">
        <v>2528</v>
      </c>
      <c r="C28" s="13">
        <v>2528</v>
      </c>
    </row>
    <row r="29" spans="1:3" x14ac:dyDescent="0.35">
      <c r="A29" s="12" t="s">
        <v>133</v>
      </c>
      <c r="B29" s="13">
        <v>2361</v>
      </c>
      <c r="C29" s="13">
        <v>2361</v>
      </c>
    </row>
    <row r="30" spans="1:3" x14ac:dyDescent="0.35">
      <c r="A30" s="12" t="s">
        <v>93</v>
      </c>
      <c r="B30" s="13">
        <v>2186</v>
      </c>
      <c r="C30" s="13">
        <v>2186</v>
      </c>
    </row>
    <row r="31" spans="1:3" x14ac:dyDescent="0.35">
      <c r="A31" s="12" t="s">
        <v>91</v>
      </c>
      <c r="B31" s="13">
        <v>2184</v>
      </c>
      <c r="C31" s="13">
        <v>2184</v>
      </c>
    </row>
    <row r="32" spans="1:3" x14ac:dyDescent="0.35">
      <c r="A32" s="12" t="s">
        <v>85</v>
      </c>
      <c r="B32" s="13">
        <v>1916</v>
      </c>
      <c r="C32" s="13">
        <v>1916</v>
      </c>
    </row>
    <row r="33" spans="1:3" x14ac:dyDescent="0.35">
      <c r="A33" s="12" t="s">
        <v>141</v>
      </c>
      <c r="B33" s="13">
        <v>1702</v>
      </c>
      <c r="C33" s="13">
        <v>1702</v>
      </c>
    </row>
    <row r="34" spans="1:3" x14ac:dyDescent="0.35">
      <c r="A34" s="12" t="s">
        <v>185</v>
      </c>
      <c r="B34" s="13">
        <v>1581</v>
      </c>
      <c r="C34" s="13">
        <v>1581</v>
      </c>
    </row>
    <row r="35" spans="1:3" x14ac:dyDescent="0.35">
      <c r="A35" s="12" t="s">
        <v>127</v>
      </c>
      <c r="B35" s="13">
        <v>1339</v>
      </c>
      <c r="C35" s="13">
        <v>1339</v>
      </c>
    </row>
    <row r="36" spans="1:3" x14ac:dyDescent="0.35">
      <c r="A36" s="12" t="s">
        <v>897</v>
      </c>
      <c r="B36" s="13">
        <v>153178</v>
      </c>
      <c r="C36" s="13">
        <v>153178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>
      <selection sqref="A1:I101"/>
    </sheetView>
  </sheetViews>
  <sheetFormatPr defaultRowHeight="14.5" x14ac:dyDescent="0.35"/>
  <cols>
    <col min="1" max="1" width="17" customWidth="1"/>
    <col min="2" max="2" width="20.81640625" customWidth="1"/>
    <col min="3" max="3" width="25.7265625" customWidth="1"/>
    <col min="4" max="4" width="13.81640625" customWidth="1"/>
    <col min="5" max="5" width="18.54296875" customWidth="1"/>
    <col min="6" max="7" width="13.81640625" customWidth="1"/>
  </cols>
  <sheetData>
    <row r="1" spans="1:9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t="s">
        <v>895</v>
      </c>
      <c r="I1" t="s">
        <v>899</v>
      </c>
    </row>
    <row r="2" spans="1:9" x14ac:dyDescent="0.35">
      <c r="A2" s="2">
        <v>1</v>
      </c>
      <c r="B2" s="3" t="s">
        <v>7</v>
      </c>
      <c r="C2" s="2" t="s">
        <v>8</v>
      </c>
      <c r="D2" s="2">
        <v>35</v>
      </c>
      <c r="E2" s="2">
        <v>75016</v>
      </c>
      <c r="F2" s="2">
        <v>32.76726</v>
      </c>
      <c r="G2" s="2">
        <v>-96.777619999999999</v>
      </c>
      <c r="H2" t="str">
        <f>_xlfn.XLOOKUP(Table1[[#This Row],[City_ID]],CITY!$A$2:$A$39,CITY!$D$2:$D$39)</f>
        <v>South</v>
      </c>
      <c r="I2">
        <v>3921</v>
      </c>
    </row>
    <row r="3" spans="1:9" x14ac:dyDescent="0.35">
      <c r="A3" s="2">
        <v>2</v>
      </c>
      <c r="B3" s="3" t="s">
        <v>9</v>
      </c>
      <c r="C3" s="2" t="s">
        <v>10</v>
      </c>
      <c r="D3" s="2">
        <v>7</v>
      </c>
      <c r="E3" s="2">
        <v>94105</v>
      </c>
      <c r="F3" s="2">
        <v>37.78922</v>
      </c>
      <c r="G3" s="2">
        <v>-122.39570000000001</v>
      </c>
      <c r="H3" t="str">
        <f>_xlfn.XLOOKUP(Table1[[#This Row],[City_ID]],CITY!$A$2:$A$39,CITY!$D$2:$D$39)</f>
        <v>West</v>
      </c>
      <c r="I3">
        <v>3191</v>
      </c>
    </row>
    <row r="4" spans="1:9" x14ac:dyDescent="0.35">
      <c r="A4" s="2">
        <v>3</v>
      </c>
      <c r="B4" s="3" t="s">
        <v>11</v>
      </c>
      <c r="C4" s="2" t="s">
        <v>12</v>
      </c>
      <c r="D4" s="2">
        <v>17</v>
      </c>
      <c r="E4" s="2">
        <v>33701</v>
      </c>
      <c r="F4" s="2">
        <v>27.770949999999999</v>
      </c>
      <c r="G4" s="2">
        <v>-82.639309999999995</v>
      </c>
      <c r="H4" t="str">
        <f>_xlfn.XLOOKUP(Table1[[#This Row],[City_ID]],CITY!$A$2:$A$39,CITY!$D$2:$D$39)</f>
        <v>South</v>
      </c>
      <c r="I4">
        <v>4030</v>
      </c>
    </row>
    <row r="5" spans="1:9" x14ac:dyDescent="0.35">
      <c r="A5" s="2">
        <v>4</v>
      </c>
      <c r="B5" s="3" t="s">
        <v>13</v>
      </c>
      <c r="C5" s="2" t="s">
        <v>14</v>
      </c>
      <c r="D5" s="2">
        <v>30</v>
      </c>
      <c r="E5" s="2">
        <v>10001</v>
      </c>
      <c r="F5" s="2">
        <v>40.75074</v>
      </c>
      <c r="G5" s="2">
        <v>-73.996530000000007</v>
      </c>
      <c r="H5" t="str">
        <f>_xlfn.XLOOKUP(Table1[[#This Row],[City_ID]],CITY!$A$2:$A$39,CITY!$D$2:$D$39)</f>
        <v>MidAtlantic</v>
      </c>
      <c r="I5">
        <v>7313</v>
      </c>
    </row>
    <row r="6" spans="1:9" x14ac:dyDescent="0.35">
      <c r="A6" s="2">
        <v>5</v>
      </c>
      <c r="B6" s="3" t="s">
        <v>15</v>
      </c>
      <c r="C6" s="2" t="s">
        <v>16</v>
      </c>
      <c r="D6" s="2">
        <v>10</v>
      </c>
      <c r="E6" s="2">
        <v>6106</v>
      </c>
      <c r="F6" s="2">
        <v>41.746899999999997</v>
      </c>
      <c r="G6" s="2">
        <v>-72.695930000000004</v>
      </c>
      <c r="H6" t="str">
        <f>_xlfn.XLOOKUP(Table1[[#This Row],[City_ID]],CITY!$A$2:$A$39,CITY!$D$2:$D$39)</f>
        <v>NorthEast</v>
      </c>
      <c r="I6">
        <v>1152</v>
      </c>
    </row>
    <row r="7" spans="1:9" x14ac:dyDescent="0.35">
      <c r="A7" s="2">
        <v>6</v>
      </c>
      <c r="B7" s="3" t="s">
        <v>17</v>
      </c>
      <c r="C7" s="2" t="s">
        <v>18</v>
      </c>
      <c r="D7" s="2">
        <v>23</v>
      </c>
      <c r="E7" s="2">
        <v>8404</v>
      </c>
      <c r="F7" s="2">
        <v>39.5092</v>
      </c>
      <c r="G7" s="2">
        <v>-74.608549999999994</v>
      </c>
      <c r="H7" t="str">
        <f>_xlfn.XLOOKUP(Table1[[#This Row],[City_ID]],CITY!$A$2:$A$39,CITY!$D$2:$D$39)</f>
        <v>MidAtlantic</v>
      </c>
      <c r="I7">
        <v>775</v>
      </c>
    </row>
    <row r="8" spans="1:9" x14ac:dyDescent="0.35">
      <c r="A8" s="2">
        <v>7</v>
      </c>
      <c r="B8" s="3" t="s">
        <v>19</v>
      </c>
      <c r="C8" s="2" t="s">
        <v>20</v>
      </c>
      <c r="D8" s="2">
        <v>13</v>
      </c>
      <c r="E8" s="2">
        <v>6095</v>
      </c>
      <c r="F8" s="2">
        <v>41.857300000000002</v>
      </c>
      <c r="G8" s="2">
        <v>-72.666539999999998</v>
      </c>
      <c r="H8" t="str">
        <f>_xlfn.XLOOKUP(Table1[[#This Row],[City_ID]],CITY!$A$2:$A$39,CITY!$D$2:$D$39)</f>
        <v>NorthEast</v>
      </c>
      <c r="I8">
        <v>2476</v>
      </c>
    </row>
    <row r="9" spans="1:9" x14ac:dyDescent="0.35">
      <c r="A9" s="2">
        <v>8</v>
      </c>
      <c r="B9" s="3" t="s">
        <v>21</v>
      </c>
      <c r="C9" s="2" t="s">
        <v>22</v>
      </c>
      <c r="D9" s="2">
        <v>27</v>
      </c>
      <c r="E9" s="2">
        <v>7662</v>
      </c>
      <c r="F9" s="2">
        <v>40.906550000000003</v>
      </c>
      <c r="G9" s="2">
        <v>-74.077969999999993</v>
      </c>
      <c r="H9" t="str">
        <f>_xlfn.XLOOKUP(Table1[[#This Row],[City_ID]],CITY!$A$2:$A$39,CITY!$D$2:$D$39)</f>
        <v>MidAtlantic</v>
      </c>
      <c r="I9">
        <v>3252</v>
      </c>
    </row>
    <row r="10" spans="1:9" x14ac:dyDescent="0.35">
      <c r="A10" s="2">
        <v>9</v>
      </c>
      <c r="B10" s="3" t="s">
        <v>23</v>
      </c>
      <c r="C10" s="2" t="s">
        <v>24</v>
      </c>
      <c r="D10" s="2">
        <v>37</v>
      </c>
      <c r="E10" s="2">
        <v>98003</v>
      </c>
      <c r="F10" s="2">
        <v>47.311070000000001</v>
      </c>
      <c r="G10" s="2">
        <v>-122.31188</v>
      </c>
      <c r="H10" t="str">
        <f>_xlfn.XLOOKUP(Table1[[#This Row],[City_ID]],CITY!$A$2:$A$39,CITY!$D$2:$D$39)</f>
        <v>West</v>
      </c>
      <c r="I10">
        <v>4072</v>
      </c>
    </row>
    <row r="11" spans="1:9" x14ac:dyDescent="0.35">
      <c r="A11" s="2">
        <v>10</v>
      </c>
      <c r="B11" s="3" t="s">
        <v>25</v>
      </c>
      <c r="C11" s="2" t="s">
        <v>26</v>
      </c>
      <c r="D11" s="2">
        <v>7</v>
      </c>
      <c r="E11" s="2">
        <v>94105</v>
      </c>
      <c r="F11" s="2">
        <v>37.78922</v>
      </c>
      <c r="G11" s="2">
        <v>-122.39570000000001</v>
      </c>
      <c r="H11" t="str">
        <f>_xlfn.XLOOKUP(Table1[[#This Row],[City_ID]],CITY!$A$2:$A$39,CITY!$D$2:$D$39)</f>
        <v>West</v>
      </c>
      <c r="I11">
        <v>12125</v>
      </c>
    </row>
    <row r="12" spans="1:9" x14ac:dyDescent="0.35">
      <c r="A12" s="2">
        <v>11</v>
      </c>
      <c r="B12" s="3" t="s">
        <v>27</v>
      </c>
      <c r="C12" s="2" t="s">
        <v>28</v>
      </c>
      <c r="D12" s="2">
        <v>31</v>
      </c>
      <c r="E12" s="2">
        <v>14607</v>
      </c>
      <c r="F12" s="2">
        <v>43.149859999999997</v>
      </c>
      <c r="G12" s="2">
        <v>-77.589619999999996</v>
      </c>
      <c r="H12" t="str">
        <f>_xlfn.XLOOKUP(Table1[[#This Row],[City_ID]],CITY!$A$2:$A$39,CITY!$D$2:$D$39)</f>
        <v>MidAtlantic</v>
      </c>
      <c r="I12">
        <v>7750</v>
      </c>
    </row>
    <row r="13" spans="1:9" x14ac:dyDescent="0.35">
      <c r="A13" s="2">
        <v>12</v>
      </c>
      <c r="B13" s="3" t="s">
        <v>29</v>
      </c>
      <c r="C13" s="2" t="s">
        <v>30</v>
      </c>
      <c r="D13" s="2">
        <v>29</v>
      </c>
      <c r="E13" s="2">
        <v>11377</v>
      </c>
      <c r="F13" s="2">
        <v>40.74286</v>
      </c>
      <c r="G13" s="2">
        <v>-73.903769999999994</v>
      </c>
      <c r="H13" t="str">
        <f>_xlfn.XLOOKUP(Table1[[#This Row],[City_ID]],CITY!$A$2:$A$39,CITY!$D$2:$D$39)</f>
        <v>MidAtlantic</v>
      </c>
      <c r="I13">
        <v>9445</v>
      </c>
    </row>
    <row r="14" spans="1:9" x14ac:dyDescent="0.35">
      <c r="A14" s="2">
        <v>13</v>
      </c>
      <c r="B14" s="3" t="s">
        <v>31</v>
      </c>
      <c r="C14" s="2" t="s">
        <v>32</v>
      </c>
      <c r="D14" s="2">
        <v>11</v>
      </c>
      <c r="E14" s="2">
        <v>6706</v>
      </c>
      <c r="F14" s="2">
        <v>41.537889999999997</v>
      </c>
      <c r="G14" s="2">
        <v>-73.028270000000006</v>
      </c>
      <c r="H14" t="str">
        <f>_xlfn.XLOOKUP(Table1[[#This Row],[City_ID]],CITY!$A$2:$A$39,CITY!$D$2:$D$39)</f>
        <v>NorthEast</v>
      </c>
      <c r="I14">
        <v>4763</v>
      </c>
    </row>
    <row r="15" spans="1:9" x14ac:dyDescent="0.35">
      <c r="A15" s="2">
        <v>14</v>
      </c>
      <c r="B15" s="3" t="s">
        <v>33</v>
      </c>
      <c r="C15" s="2" t="s">
        <v>34</v>
      </c>
      <c r="D15" s="2">
        <v>14</v>
      </c>
      <c r="E15" s="2">
        <v>33301</v>
      </c>
      <c r="F15" s="2">
        <v>26.121110000000002</v>
      </c>
      <c r="G15" s="2">
        <v>-80.131870000000006</v>
      </c>
      <c r="H15" t="str">
        <f>_xlfn.XLOOKUP(Table1[[#This Row],[City_ID]],CITY!$A$2:$A$39,CITY!$D$2:$D$39)</f>
        <v>South</v>
      </c>
      <c r="I15">
        <v>3869</v>
      </c>
    </row>
    <row r="16" spans="1:9" x14ac:dyDescent="0.35">
      <c r="A16" s="2">
        <v>15</v>
      </c>
      <c r="B16" s="3" t="s">
        <v>35</v>
      </c>
      <c r="C16" s="2" t="s">
        <v>36</v>
      </c>
      <c r="D16" s="2">
        <v>4</v>
      </c>
      <c r="E16" s="2">
        <v>90011</v>
      </c>
      <c r="F16" s="2">
        <v>34.007060000000003</v>
      </c>
      <c r="G16" s="2">
        <v>-118.25868</v>
      </c>
      <c r="H16" t="str">
        <f>_xlfn.XLOOKUP(Table1[[#This Row],[City_ID]],CITY!$A$2:$A$39,CITY!$D$2:$D$39)</f>
        <v>West</v>
      </c>
      <c r="I16">
        <v>7981</v>
      </c>
    </row>
    <row r="17" spans="1:9" x14ac:dyDescent="0.35">
      <c r="A17" s="2">
        <v>16</v>
      </c>
      <c r="B17" s="3" t="s">
        <v>37</v>
      </c>
      <c r="C17" s="2" t="s">
        <v>38</v>
      </c>
      <c r="D17" s="2">
        <v>16</v>
      </c>
      <c r="E17" s="2">
        <v>32504</v>
      </c>
      <c r="F17" s="2">
        <v>30.487870000000001</v>
      </c>
      <c r="G17" s="2">
        <v>-87.189369999999997</v>
      </c>
      <c r="H17" t="str">
        <f>_xlfn.XLOOKUP(Table1[[#This Row],[City_ID]],CITY!$A$2:$A$39,CITY!$D$2:$D$39)</f>
        <v>South</v>
      </c>
      <c r="I17">
        <v>2685</v>
      </c>
    </row>
    <row r="18" spans="1:9" x14ac:dyDescent="0.35">
      <c r="A18" s="2">
        <v>17</v>
      </c>
      <c r="B18" s="3" t="s">
        <v>39</v>
      </c>
      <c r="C18" s="2" t="s">
        <v>40</v>
      </c>
      <c r="D18" s="2">
        <v>7</v>
      </c>
      <c r="E18" s="2">
        <v>94105</v>
      </c>
      <c r="F18" s="2">
        <v>37.78922</v>
      </c>
      <c r="G18" s="2">
        <v>-122.39570000000001</v>
      </c>
      <c r="H18" t="str">
        <f>_xlfn.XLOOKUP(Table1[[#This Row],[City_ID]],CITY!$A$2:$A$39,CITY!$D$2:$D$39)</f>
        <v>West</v>
      </c>
      <c r="I18">
        <v>7049</v>
      </c>
    </row>
    <row r="19" spans="1:9" x14ac:dyDescent="0.35">
      <c r="A19" s="2">
        <v>18</v>
      </c>
      <c r="B19" s="3" t="s">
        <v>41</v>
      </c>
      <c r="C19" s="2" t="s">
        <v>42</v>
      </c>
      <c r="D19" s="2">
        <v>17</v>
      </c>
      <c r="E19" s="2">
        <v>33701</v>
      </c>
      <c r="F19" s="2">
        <v>27.770949999999999</v>
      </c>
      <c r="G19" s="2">
        <v>-82.639309999999995</v>
      </c>
      <c r="H19" t="str">
        <f>_xlfn.XLOOKUP(Table1[[#This Row],[City_ID]],CITY!$A$2:$A$39,CITY!$D$2:$D$39)</f>
        <v>South</v>
      </c>
      <c r="I19">
        <v>2517</v>
      </c>
    </row>
    <row r="20" spans="1:9" x14ac:dyDescent="0.35">
      <c r="A20" s="2">
        <v>19</v>
      </c>
      <c r="B20" s="3" t="s">
        <v>43</v>
      </c>
      <c r="C20" s="2" t="s">
        <v>44</v>
      </c>
      <c r="D20" s="2">
        <v>25</v>
      </c>
      <c r="E20" s="2">
        <v>8540</v>
      </c>
      <c r="F20" s="2">
        <v>40.357430000000001</v>
      </c>
      <c r="G20" s="2">
        <v>-74.64922</v>
      </c>
      <c r="H20" t="str">
        <f>_xlfn.XLOOKUP(Table1[[#This Row],[City_ID]],CITY!$A$2:$A$39,CITY!$D$2:$D$39)</f>
        <v>MidAtlantic</v>
      </c>
      <c r="I20">
        <v>5557</v>
      </c>
    </row>
    <row r="21" spans="1:9" x14ac:dyDescent="0.35">
      <c r="A21" s="2">
        <v>20</v>
      </c>
      <c r="B21" s="3" t="s">
        <v>45</v>
      </c>
      <c r="C21" s="2" t="s">
        <v>46</v>
      </c>
      <c r="D21" s="2">
        <v>18</v>
      </c>
      <c r="E21" s="2">
        <v>33607</v>
      </c>
      <c r="F21" s="2">
        <v>27.963789999999999</v>
      </c>
      <c r="G21" s="2">
        <v>-82.495369999999994</v>
      </c>
      <c r="H21" t="str">
        <f>_xlfn.XLOOKUP(Table1[[#This Row],[City_ID]],CITY!$A$2:$A$39,CITY!$D$2:$D$39)</f>
        <v>South</v>
      </c>
      <c r="I21">
        <v>5980</v>
      </c>
    </row>
    <row r="22" spans="1:9" x14ac:dyDescent="0.35">
      <c r="A22" s="2">
        <v>21</v>
      </c>
      <c r="B22" s="3" t="s">
        <v>47</v>
      </c>
      <c r="C22" s="2" t="s">
        <v>48</v>
      </c>
      <c r="D22" s="2">
        <v>28</v>
      </c>
      <c r="E22" s="2">
        <v>7070</v>
      </c>
      <c r="F22" s="2">
        <v>40.828919999999997</v>
      </c>
      <c r="G22" s="2">
        <v>-74.110640000000004</v>
      </c>
      <c r="H22" t="str">
        <f>_xlfn.XLOOKUP(Table1[[#This Row],[City_ID]],CITY!$A$2:$A$39,CITY!$D$2:$D$39)</f>
        <v>MidAtlantic</v>
      </c>
      <c r="I22">
        <v>4115</v>
      </c>
    </row>
    <row r="23" spans="1:9" x14ac:dyDescent="0.35">
      <c r="A23" s="2">
        <v>22</v>
      </c>
      <c r="B23" s="3" t="s">
        <v>49</v>
      </c>
      <c r="C23" s="2" t="s">
        <v>50</v>
      </c>
      <c r="D23" s="2">
        <v>20</v>
      </c>
      <c r="E23" s="2">
        <v>2142</v>
      </c>
      <c r="F23" s="2">
        <v>42.362290000000002</v>
      </c>
      <c r="G23" s="2">
        <v>-71.084119999999999</v>
      </c>
      <c r="H23" t="str">
        <f>_xlfn.XLOOKUP(Table1[[#This Row],[City_ID]],CITY!$A$2:$A$39,CITY!$D$2:$D$39)</f>
        <v>NorthEast</v>
      </c>
      <c r="I23">
        <v>9325</v>
      </c>
    </row>
    <row r="24" spans="1:9" x14ac:dyDescent="0.35">
      <c r="A24" s="2">
        <v>23</v>
      </c>
      <c r="B24" s="3" t="s">
        <v>51</v>
      </c>
      <c r="C24" s="2" t="s">
        <v>52</v>
      </c>
      <c r="D24" s="2">
        <v>32</v>
      </c>
      <c r="E24" s="2">
        <v>13492</v>
      </c>
      <c r="F24" s="2">
        <v>43.11627</v>
      </c>
      <c r="G24" s="2">
        <v>-75.311819999999997</v>
      </c>
      <c r="H24" t="str">
        <f>_xlfn.XLOOKUP(Table1[[#This Row],[City_ID]],CITY!$A$2:$A$39,CITY!$D$2:$D$39)</f>
        <v>MidAtlantic</v>
      </c>
      <c r="I24">
        <v>5155</v>
      </c>
    </row>
    <row r="25" spans="1:9" x14ac:dyDescent="0.35">
      <c r="A25" s="2">
        <v>24</v>
      </c>
      <c r="B25" s="3" t="s">
        <v>53</v>
      </c>
      <c r="C25" s="2" t="s">
        <v>54</v>
      </c>
      <c r="D25" s="2">
        <v>26</v>
      </c>
      <c r="E25" s="2">
        <v>8075</v>
      </c>
      <c r="F25" s="2">
        <v>40.029359999999997</v>
      </c>
      <c r="G25" s="2">
        <v>-74.954099999999997</v>
      </c>
      <c r="H25" t="str">
        <f>_xlfn.XLOOKUP(Table1[[#This Row],[City_ID]],CITY!$A$2:$A$39,CITY!$D$2:$D$39)</f>
        <v>MidAtlantic</v>
      </c>
      <c r="I25">
        <v>5666</v>
      </c>
    </row>
    <row r="26" spans="1:9" x14ac:dyDescent="0.35">
      <c r="A26" s="2">
        <v>25</v>
      </c>
      <c r="B26" s="3" t="s">
        <v>55</v>
      </c>
      <c r="C26" s="2" t="s">
        <v>56</v>
      </c>
      <c r="D26" s="2">
        <v>30</v>
      </c>
      <c r="E26" s="2">
        <v>10128</v>
      </c>
      <c r="F26" s="2">
        <v>40.781889999999997</v>
      </c>
      <c r="G26" s="2">
        <v>-73.950389999999999</v>
      </c>
      <c r="H26" t="str">
        <f>_xlfn.XLOOKUP(Table1[[#This Row],[City_ID]],CITY!$A$2:$A$39,CITY!$D$2:$D$39)</f>
        <v>MidAtlantic</v>
      </c>
      <c r="I26">
        <v>6136</v>
      </c>
    </row>
    <row r="27" spans="1:9" x14ac:dyDescent="0.35">
      <c r="A27" s="2">
        <v>26</v>
      </c>
      <c r="B27" s="3" t="s">
        <v>57</v>
      </c>
      <c r="C27" s="2" t="s">
        <v>58</v>
      </c>
      <c r="D27" s="2">
        <v>35</v>
      </c>
      <c r="E27" s="2">
        <v>75016</v>
      </c>
      <c r="F27" s="2">
        <v>32.76726</v>
      </c>
      <c r="G27" s="2">
        <v>-96.777619999999999</v>
      </c>
      <c r="H27" t="str">
        <f>_xlfn.XLOOKUP(Table1[[#This Row],[City_ID]],CITY!$A$2:$A$39,CITY!$D$2:$D$39)</f>
        <v>South</v>
      </c>
      <c r="I27">
        <v>3943</v>
      </c>
    </row>
    <row r="28" spans="1:9" x14ac:dyDescent="0.35">
      <c r="A28" s="2">
        <v>27</v>
      </c>
      <c r="B28" s="3" t="s">
        <v>59</v>
      </c>
      <c r="C28" s="2" t="s">
        <v>60</v>
      </c>
      <c r="D28" s="2">
        <v>24</v>
      </c>
      <c r="E28" s="2">
        <v>7014</v>
      </c>
      <c r="F28" s="2">
        <v>40.834040000000002</v>
      </c>
      <c r="G28" s="2">
        <v>-74.136690000000002</v>
      </c>
      <c r="H28" t="str">
        <f>_xlfn.XLOOKUP(Table1[[#This Row],[City_ID]],CITY!$A$2:$A$39,CITY!$D$2:$D$39)</f>
        <v>MidAtlantic</v>
      </c>
      <c r="I28">
        <v>2366</v>
      </c>
    </row>
    <row r="29" spans="1:9" x14ac:dyDescent="0.35">
      <c r="A29" s="2">
        <v>28</v>
      </c>
      <c r="B29" s="3" t="s">
        <v>61</v>
      </c>
      <c r="C29" s="2" t="s">
        <v>62</v>
      </c>
      <c r="D29" s="2">
        <v>9</v>
      </c>
      <c r="E29" s="2">
        <v>91411</v>
      </c>
      <c r="F29" s="2">
        <v>34.1783</v>
      </c>
      <c r="G29" s="2">
        <v>-118.45858</v>
      </c>
      <c r="H29" t="str">
        <f>_xlfn.XLOOKUP(Table1[[#This Row],[City_ID]],CITY!$A$2:$A$39,CITY!$D$2:$D$39)</f>
        <v>West</v>
      </c>
      <c r="I29">
        <v>3519</v>
      </c>
    </row>
    <row r="30" spans="1:9" x14ac:dyDescent="0.35">
      <c r="A30" s="2">
        <v>29</v>
      </c>
      <c r="B30" s="3" t="s">
        <v>63</v>
      </c>
      <c r="C30" s="2" t="s">
        <v>64</v>
      </c>
      <c r="D30" s="2">
        <v>33</v>
      </c>
      <c r="E30" s="2">
        <v>75240</v>
      </c>
      <c r="F30" s="2">
        <v>32.938769999999998</v>
      </c>
      <c r="G30" s="2">
        <v>-96.785430000000005</v>
      </c>
      <c r="H30" t="str">
        <f>_xlfn.XLOOKUP(Table1[[#This Row],[City_ID]],CITY!$A$2:$A$39,CITY!$D$2:$D$39)</f>
        <v>South</v>
      </c>
      <c r="I30">
        <v>5875</v>
      </c>
    </row>
    <row r="31" spans="1:9" x14ac:dyDescent="0.35">
      <c r="A31" s="2">
        <v>30</v>
      </c>
      <c r="B31" s="3" t="s">
        <v>65</v>
      </c>
      <c r="C31" s="2" t="s">
        <v>66</v>
      </c>
      <c r="D31" s="2">
        <v>14</v>
      </c>
      <c r="E31" s="2">
        <v>33334</v>
      </c>
      <c r="F31" s="2">
        <v>26.18216</v>
      </c>
      <c r="G31" s="2">
        <v>-80.133409999999998</v>
      </c>
      <c r="H31" t="str">
        <f>_xlfn.XLOOKUP(Table1[[#This Row],[City_ID]],CITY!$A$2:$A$39,CITY!$D$2:$D$39)</f>
        <v>South</v>
      </c>
      <c r="I31">
        <v>8128</v>
      </c>
    </row>
    <row r="32" spans="1:9" x14ac:dyDescent="0.35">
      <c r="A32" s="2">
        <v>31</v>
      </c>
      <c r="B32" s="3" t="s">
        <v>67</v>
      </c>
      <c r="C32" s="2" t="s">
        <v>68</v>
      </c>
      <c r="D32" s="2">
        <v>24</v>
      </c>
      <c r="E32" s="2">
        <v>7014</v>
      </c>
      <c r="F32" s="2">
        <v>40.834040000000002</v>
      </c>
      <c r="G32" s="2">
        <v>-74.136690000000002</v>
      </c>
      <c r="H32" t="str">
        <f>_xlfn.XLOOKUP(Table1[[#This Row],[City_ID]],CITY!$A$2:$A$39,CITY!$D$2:$D$39)</f>
        <v>MidAtlantic</v>
      </c>
      <c r="I32">
        <v>6997</v>
      </c>
    </row>
    <row r="33" spans="1:9" x14ac:dyDescent="0.35">
      <c r="A33" s="2">
        <v>32</v>
      </c>
      <c r="B33" s="3" t="s">
        <v>69</v>
      </c>
      <c r="C33" s="2" t="s">
        <v>70</v>
      </c>
      <c r="D33" s="2">
        <v>15</v>
      </c>
      <c r="E33" s="2">
        <v>33166</v>
      </c>
      <c r="F33" s="2">
        <v>25.824719999999999</v>
      </c>
      <c r="G33" s="2">
        <v>-80.304760000000002</v>
      </c>
      <c r="H33" t="str">
        <f>_xlfn.XLOOKUP(Table1[[#This Row],[City_ID]],CITY!$A$2:$A$39,CITY!$D$2:$D$39)</f>
        <v>South</v>
      </c>
      <c r="I33">
        <v>5979</v>
      </c>
    </row>
    <row r="34" spans="1:9" x14ac:dyDescent="0.35">
      <c r="A34" s="2">
        <v>33</v>
      </c>
      <c r="B34" s="3" t="s">
        <v>71</v>
      </c>
      <c r="C34" s="2" t="s">
        <v>72</v>
      </c>
      <c r="D34" s="2">
        <v>11</v>
      </c>
      <c r="E34" s="2">
        <v>6716</v>
      </c>
      <c r="F34" s="2">
        <v>41.59478</v>
      </c>
      <c r="G34" s="2">
        <v>-72.978890000000007</v>
      </c>
      <c r="H34" t="str">
        <f>_xlfn.XLOOKUP(Table1[[#This Row],[City_ID]],CITY!$A$2:$A$39,CITY!$D$2:$D$39)</f>
        <v>NorthEast</v>
      </c>
      <c r="I34">
        <v>11668</v>
      </c>
    </row>
    <row r="35" spans="1:9" x14ac:dyDescent="0.35">
      <c r="A35" s="2">
        <v>34</v>
      </c>
      <c r="B35" s="3" t="s">
        <v>73</v>
      </c>
      <c r="C35" s="2" t="s">
        <v>74</v>
      </c>
      <c r="D35" s="2">
        <v>36</v>
      </c>
      <c r="E35" s="2">
        <v>78219</v>
      </c>
      <c r="F35" s="2">
        <v>29.448370000000001</v>
      </c>
      <c r="G35" s="2">
        <v>-98.399079999999998</v>
      </c>
      <c r="H35" t="str">
        <f>_xlfn.XLOOKUP(Table1[[#This Row],[City_ID]],CITY!$A$2:$A$39,CITY!$D$2:$D$39)</f>
        <v>South</v>
      </c>
      <c r="I35">
        <v>7349</v>
      </c>
    </row>
    <row r="36" spans="1:9" x14ac:dyDescent="0.35">
      <c r="A36" s="2">
        <v>35</v>
      </c>
      <c r="B36" s="3" t="s">
        <v>75</v>
      </c>
      <c r="C36" s="2" t="s">
        <v>76</v>
      </c>
      <c r="D36" s="2">
        <v>2</v>
      </c>
      <c r="E36" s="2">
        <v>85254</v>
      </c>
      <c r="F36" s="2">
        <v>33.6175</v>
      </c>
      <c r="G36" s="2">
        <v>-111.95416</v>
      </c>
      <c r="H36" t="str">
        <f>_xlfn.XLOOKUP(Table1[[#This Row],[City_ID]],CITY!$A$2:$A$39,CITY!$D$2:$D$39)</f>
        <v>West</v>
      </c>
      <c r="I36">
        <v>6848</v>
      </c>
    </row>
    <row r="37" spans="1:9" x14ac:dyDescent="0.35">
      <c r="A37" s="2">
        <v>36</v>
      </c>
      <c r="B37" s="3" t="s">
        <v>77</v>
      </c>
      <c r="C37" s="2" t="s">
        <v>78</v>
      </c>
      <c r="D37" s="2">
        <v>24</v>
      </c>
      <c r="E37" s="2">
        <v>7014</v>
      </c>
      <c r="F37" s="2">
        <v>40.834040000000002</v>
      </c>
      <c r="G37" s="2">
        <v>-74.136690000000002</v>
      </c>
      <c r="H37" t="str">
        <f>_xlfn.XLOOKUP(Table1[[#This Row],[City_ID]],CITY!$A$2:$A$39,CITY!$D$2:$D$39)</f>
        <v>MidAtlantic</v>
      </c>
      <c r="I37">
        <v>1522</v>
      </c>
    </row>
    <row r="38" spans="1:9" x14ac:dyDescent="0.35">
      <c r="A38" s="2">
        <v>37</v>
      </c>
      <c r="B38" s="3" t="s">
        <v>79</v>
      </c>
      <c r="C38" s="2" t="s">
        <v>80</v>
      </c>
      <c r="D38" s="2">
        <v>34</v>
      </c>
      <c r="E38" s="2">
        <v>77269</v>
      </c>
      <c r="F38" s="2">
        <v>29.83399</v>
      </c>
      <c r="G38" s="2">
        <v>-95.434240000000003</v>
      </c>
      <c r="H38" t="str">
        <f>_xlfn.XLOOKUP(Table1[[#This Row],[City_ID]],CITY!$A$2:$A$39,CITY!$D$2:$D$39)</f>
        <v>South</v>
      </c>
      <c r="I38">
        <v>3600</v>
      </c>
    </row>
    <row r="39" spans="1:9" x14ac:dyDescent="0.35">
      <c r="A39" s="2">
        <v>38</v>
      </c>
      <c r="B39" s="3" t="s">
        <v>81</v>
      </c>
      <c r="C39" s="2" t="s">
        <v>82</v>
      </c>
      <c r="D39" s="2">
        <v>27</v>
      </c>
      <c r="E39" s="2">
        <v>7662</v>
      </c>
      <c r="F39" s="2">
        <v>40.906550000000003</v>
      </c>
      <c r="G39" s="2">
        <v>-74.077969999999993</v>
      </c>
      <c r="H39" t="str">
        <f>_xlfn.XLOOKUP(Table1[[#This Row],[City_ID]],CITY!$A$2:$A$39,CITY!$D$2:$D$39)</f>
        <v>MidAtlantic</v>
      </c>
      <c r="I39">
        <v>4177</v>
      </c>
    </row>
    <row r="40" spans="1:9" x14ac:dyDescent="0.35">
      <c r="A40" s="2">
        <v>39</v>
      </c>
      <c r="B40" s="3" t="s">
        <v>83</v>
      </c>
      <c r="C40" s="2" t="s">
        <v>84</v>
      </c>
      <c r="D40" s="2">
        <v>25</v>
      </c>
      <c r="E40" s="2">
        <v>8543</v>
      </c>
      <c r="F40" s="2">
        <v>40.280529999999999</v>
      </c>
      <c r="G40" s="2">
        <v>-74.712010000000006</v>
      </c>
      <c r="H40" t="str">
        <f>_xlfn.XLOOKUP(Table1[[#This Row],[City_ID]],CITY!$A$2:$A$39,CITY!$D$2:$D$39)</f>
        <v>MidAtlantic</v>
      </c>
      <c r="I40">
        <v>3237</v>
      </c>
    </row>
    <row r="41" spans="1:9" x14ac:dyDescent="0.35">
      <c r="A41" s="2">
        <v>40</v>
      </c>
      <c r="B41" s="3" t="s">
        <v>85</v>
      </c>
      <c r="C41" s="2" t="s">
        <v>86</v>
      </c>
      <c r="D41" s="2">
        <v>5</v>
      </c>
      <c r="E41" s="2">
        <v>91325</v>
      </c>
      <c r="F41" s="2">
        <v>34.235050000000001</v>
      </c>
      <c r="G41" s="2">
        <v>-118.51766000000001</v>
      </c>
      <c r="H41" t="str">
        <f>_xlfn.XLOOKUP(Table1[[#This Row],[City_ID]],CITY!$A$2:$A$39,CITY!$D$2:$D$39)</f>
        <v>West</v>
      </c>
      <c r="I41">
        <v>1916</v>
      </c>
    </row>
    <row r="42" spans="1:9" x14ac:dyDescent="0.35">
      <c r="A42" s="2">
        <v>41</v>
      </c>
      <c r="B42" s="3" t="s">
        <v>87</v>
      </c>
      <c r="C42" s="2" t="s">
        <v>88</v>
      </c>
      <c r="D42" s="2">
        <v>21</v>
      </c>
      <c r="E42" s="2">
        <v>39703</v>
      </c>
      <c r="F42" s="2">
        <v>33.484139999999996</v>
      </c>
      <c r="G42" s="2">
        <v>-88.283990000000003</v>
      </c>
      <c r="H42" t="str">
        <f>_xlfn.XLOOKUP(Table1[[#This Row],[City_ID]],CITY!$A$2:$A$39,CITY!$D$2:$D$39)</f>
        <v>South</v>
      </c>
      <c r="I42">
        <v>3984</v>
      </c>
    </row>
    <row r="43" spans="1:9" x14ac:dyDescent="0.35">
      <c r="A43" s="2">
        <v>42</v>
      </c>
      <c r="B43" s="3" t="s">
        <v>89</v>
      </c>
      <c r="C43" s="2" t="s">
        <v>90</v>
      </c>
      <c r="D43" s="2">
        <v>34</v>
      </c>
      <c r="E43" s="2">
        <v>77269</v>
      </c>
      <c r="F43" s="2">
        <v>29.83399</v>
      </c>
      <c r="G43" s="2">
        <v>-95.434240000000003</v>
      </c>
      <c r="H43" t="str">
        <f>_xlfn.XLOOKUP(Table1[[#This Row],[City_ID]],CITY!$A$2:$A$39,CITY!$D$2:$D$39)</f>
        <v>South</v>
      </c>
      <c r="I43">
        <v>342</v>
      </c>
    </row>
    <row r="44" spans="1:9" x14ac:dyDescent="0.35">
      <c r="A44" s="2">
        <v>43</v>
      </c>
      <c r="B44" s="3" t="s">
        <v>91</v>
      </c>
      <c r="C44" s="2" t="s">
        <v>92</v>
      </c>
      <c r="D44" s="2">
        <v>5</v>
      </c>
      <c r="E44" s="2">
        <v>91325</v>
      </c>
      <c r="F44" s="2">
        <v>34.235050000000001</v>
      </c>
      <c r="G44" s="2">
        <v>-118.51766000000001</v>
      </c>
      <c r="H44" t="str">
        <f>_xlfn.XLOOKUP(Table1[[#This Row],[City_ID]],CITY!$A$2:$A$39,CITY!$D$2:$D$39)</f>
        <v>West</v>
      </c>
      <c r="I44">
        <v>2184</v>
      </c>
    </row>
    <row r="45" spans="1:9" x14ac:dyDescent="0.35">
      <c r="A45" s="2">
        <v>44</v>
      </c>
      <c r="B45" s="3" t="s">
        <v>93</v>
      </c>
      <c r="C45" s="2" t="s">
        <v>94</v>
      </c>
      <c r="D45" s="2">
        <v>4</v>
      </c>
      <c r="E45" s="2">
        <v>90067</v>
      </c>
      <c r="F45" s="2">
        <v>34.056699999999999</v>
      </c>
      <c r="G45" s="2">
        <v>-118.41182999999999</v>
      </c>
      <c r="H45" t="str">
        <f>_xlfn.XLOOKUP(Table1[[#This Row],[City_ID]],CITY!$A$2:$A$39,CITY!$D$2:$D$39)</f>
        <v>West</v>
      </c>
      <c r="I45">
        <v>2186</v>
      </c>
    </row>
    <row r="46" spans="1:9" x14ac:dyDescent="0.35">
      <c r="A46" s="2">
        <v>45</v>
      </c>
      <c r="B46" s="3" t="s">
        <v>95</v>
      </c>
      <c r="C46" s="2" t="s">
        <v>96</v>
      </c>
      <c r="D46" s="2">
        <v>19</v>
      </c>
      <c r="E46" s="2">
        <v>2127</v>
      </c>
      <c r="F46" s="2">
        <v>42.334989999999998</v>
      </c>
      <c r="G46" s="2">
        <v>-71.04562</v>
      </c>
      <c r="H46" t="str">
        <f>_xlfn.XLOOKUP(Table1[[#This Row],[City_ID]],CITY!$A$2:$A$39,CITY!$D$2:$D$39)</f>
        <v>NorthEast</v>
      </c>
      <c r="I46">
        <v>5516</v>
      </c>
    </row>
    <row r="47" spans="1:9" x14ac:dyDescent="0.35">
      <c r="A47" s="2">
        <v>46</v>
      </c>
      <c r="B47" s="3" t="s">
        <v>97</v>
      </c>
      <c r="C47" s="2" t="s">
        <v>98</v>
      </c>
      <c r="D47" s="2">
        <v>1</v>
      </c>
      <c r="E47" s="2">
        <v>85021</v>
      </c>
      <c r="F47" s="2">
        <v>33.559429999999999</v>
      </c>
      <c r="G47" s="2">
        <v>-112.09281</v>
      </c>
      <c r="H47" t="str">
        <f>_xlfn.XLOOKUP(Table1[[#This Row],[City_ID]],CITY!$A$2:$A$39,CITY!$D$2:$D$39)</f>
        <v>West</v>
      </c>
      <c r="I47">
        <v>3507</v>
      </c>
    </row>
    <row r="48" spans="1:9" x14ac:dyDescent="0.35">
      <c r="A48" s="2">
        <v>47</v>
      </c>
      <c r="B48" s="3" t="s">
        <v>99</v>
      </c>
      <c r="C48" s="2" t="s">
        <v>100</v>
      </c>
      <c r="D48" s="2">
        <v>1</v>
      </c>
      <c r="E48" s="2">
        <v>85021</v>
      </c>
      <c r="F48" s="2">
        <v>33.559429999999999</v>
      </c>
      <c r="G48" s="2">
        <v>-112.09281</v>
      </c>
      <c r="H48" t="str">
        <f>_xlfn.XLOOKUP(Table1[[#This Row],[City_ID]],CITY!$A$2:$A$39,CITY!$D$2:$D$39)</f>
        <v>West</v>
      </c>
      <c r="I48">
        <v>7602</v>
      </c>
    </row>
    <row r="49" spans="1:9" x14ac:dyDescent="0.35">
      <c r="A49" s="2">
        <v>48</v>
      </c>
      <c r="B49" s="3" t="s">
        <v>101</v>
      </c>
      <c r="C49" s="2" t="s">
        <v>102</v>
      </c>
      <c r="D49" s="2">
        <v>6</v>
      </c>
      <c r="E49" s="2">
        <v>93035</v>
      </c>
      <c r="F49" s="2">
        <v>34.179299999999998</v>
      </c>
      <c r="G49" s="2">
        <v>-119.22189</v>
      </c>
      <c r="H49" t="str">
        <f>_xlfn.XLOOKUP(Table1[[#This Row],[City_ID]],CITY!$A$2:$A$39,CITY!$D$2:$D$39)</f>
        <v>West</v>
      </c>
      <c r="I49">
        <v>4644</v>
      </c>
    </row>
    <row r="50" spans="1:9" x14ac:dyDescent="0.35">
      <c r="A50" s="2">
        <v>49</v>
      </c>
      <c r="B50" s="3" t="s">
        <v>103</v>
      </c>
      <c r="C50" s="2" t="s">
        <v>104</v>
      </c>
      <c r="D50" s="2">
        <v>22</v>
      </c>
      <c r="E50" s="2">
        <v>39216</v>
      </c>
      <c r="F50" s="2">
        <v>32.33473</v>
      </c>
      <c r="G50" s="2">
        <v>-90.169330000000002</v>
      </c>
      <c r="H50" t="str">
        <f>_xlfn.XLOOKUP(Table1[[#This Row],[City_ID]],CITY!$A$2:$A$39,CITY!$D$2:$D$39)</f>
        <v>South</v>
      </c>
      <c r="I50">
        <v>5799</v>
      </c>
    </row>
    <row r="51" spans="1:9" x14ac:dyDescent="0.35">
      <c r="A51" s="2">
        <v>50</v>
      </c>
      <c r="B51" s="3" t="s">
        <v>105</v>
      </c>
      <c r="C51" s="2" t="s">
        <v>106</v>
      </c>
      <c r="D51" s="2">
        <v>33</v>
      </c>
      <c r="E51" s="2">
        <v>75240</v>
      </c>
      <c r="F51" s="2">
        <v>32.938769999999998</v>
      </c>
      <c r="G51" s="2">
        <v>-96.785430000000005</v>
      </c>
      <c r="H51" t="str">
        <f>_xlfn.XLOOKUP(Table1[[#This Row],[City_ID]],CITY!$A$2:$A$39,CITY!$D$2:$D$39)</f>
        <v>South</v>
      </c>
      <c r="I51">
        <v>4014</v>
      </c>
    </row>
    <row r="52" spans="1:9" x14ac:dyDescent="0.35">
      <c r="A52" s="2">
        <v>51</v>
      </c>
      <c r="B52" s="3" t="s">
        <v>107</v>
      </c>
      <c r="C52" s="2" t="s">
        <v>108</v>
      </c>
      <c r="D52" s="2">
        <v>8</v>
      </c>
      <c r="E52" s="2">
        <v>93105</v>
      </c>
      <c r="F52" s="2">
        <v>34.440049999999999</v>
      </c>
      <c r="G52" s="2">
        <v>-119.75496</v>
      </c>
      <c r="H52" t="str">
        <f>_xlfn.XLOOKUP(Table1[[#This Row],[City_ID]],CITY!$A$2:$A$39,CITY!$D$2:$D$39)</f>
        <v>West</v>
      </c>
      <c r="I52">
        <v>4131</v>
      </c>
    </row>
    <row r="53" spans="1:9" x14ac:dyDescent="0.35">
      <c r="A53" s="2">
        <v>52</v>
      </c>
      <c r="B53" s="3" t="s">
        <v>109</v>
      </c>
      <c r="C53" s="2" t="s">
        <v>110</v>
      </c>
      <c r="D53" s="2">
        <v>13</v>
      </c>
      <c r="E53" s="2">
        <v>6095</v>
      </c>
      <c r="F53" s="2">
        <v>41.857300000000002</v>
      </c>
      <c r="G53" s="2">
        <v>-72.666539999999998</v>
      </c>
      <c r="H53" t="str">
        <f>_xlfn.XLOOKUP(Table1[[#This Row],[City_ID]],CITY!$A$2:$A$39,CITY!$D$2:$D$39)</f>
        <v>NorthEast</v>
      </c>
      <c r="I53">
        <v>2233</v>
      </c>
    </row>
    <row r="54" spans="1:9" x14ac:dyDescent="0.35">
      <c r="A54" s="2">
        <v>53</v>
      </c>
      <c r="B54" s="3" t="s">
        <v>111</v>
      </c>
      <c r="C54" s="2" t="s">
        <v>112</v>
      </c>
      <c r="D54" s="2">
        <v>18</v>
      </c>
      <c r="E54" s="2">
        <v>33613</v>
      </c>
      <c r="F54" s="2">
        <v>28.07799</v>
      </c>
      <c r="G54" s="2">
        <v>-82.449889999999996</v>
      </c>
      <c r="H54" t="str">
        <f>_xlfn.XLOOKUP(Table1[[#This Row],[City_ID]],CITY!$A$2:$A$39,CITY!$D$2:$D$39)</f>
        <v>South</v>
      </c>
      <c r="I54">
        <v>4983</v>
      </c>
    </row>
    <row r="55" spans="1:9" x14ac:dyDescent="0.35">
      <c r="A55" s="2">
        <v>54</v>
      </c>
      <c r="B55" s="3" t="s">
        <v>113</v>
      </c>
      <c r="C55" s="2" t="s">
        <v>114</v>
      </c>
      <c r="D55" s="2">
        <v>18</v>
      </c>
      <c r="E55" s="2">
        <v>33607</v>
      </c>
      <c r="F55" s="2">
        <v>27.963789999999999</v>
      </c>
      <c r="G55" s="2">
        <v>-82.495369999999994</v>
      </c>
      <c r="H55" t="str">
        <f>_xlfn.XLOOKUP(Table1[[#This Row],[City_ID]],CITY!$A$2:$A$39,CITY!$D$2:$D$39)</f>
        <v>South</v>
      </c>
      <c r="I55">
        <v>4937</v>
      </c>
    </row>
    <row r="56" spans="1:9" x14ac:dyDescent="0.35">
      <c r="A56" s="2">
        <v>55</v>
      </c>
      <c r="B56" s="3" t="s">
        <v>115</v>
      </c>
      <c r="C56" s="2" t="s">
        <v>116</v>
      </c>
      <c r="D56" s="2">
        <v>23</v>
      </c>
      <c r="E56" s="2">
        <v>8404</v>
      </c>
      <c r="F56" s="2">
        <v>39.5092</v>
      </c>
      <c r="G56" s="2">
        <v>-74.608549999999994</v>
      </c>
      <c r="H56" t="str">
        <f>_xlfn.XLOOKUP(Table1[[#This Row],[City_ID]],CITY!$A$2:$A$39,CITY!$D$2:$D$39)</f>
        <v>MidAtlantic</v>
      </c>
      <c r="I56">
        <v>5476</v>
      </c>
    </row>
    <row r="57" spans="1:9" x14ac:dyDescent="0.35">
      <c r="A57" s="2">
        <v>56</v>
      </c>
      <c r="B57" s="3" t="s">
        <v>117</v>
      </c>
      <c r="C57" s="2" t="s">
        <v>118</v>
      </c>
      <c r="D57" s="2">
        <v>21</v>
      </c>
      <c r="E57" s="2">
        <v>39703</v>
      </c>
      <c r="F57" s="2">
        <v>33.484139999999996</v>
      </c>
      <c r="G57" s="2">
        <v>-88.283990000000003</v>
      </c>
      <c r="H57" t="str">
        <f>_xlfn.XLOOKUP(Table1[[#This Row],[City_ID]],CITY!$A$2:$A$39,CITY!$D$2:$D$39)</f>
        <v>South</v>
      </c>
      <c r="I57">
        <v>6122</v>
      </c>
    </row>
    <row r="58" spans="1:9" x14ac:dyDescent="0.35">
      <c r="A58" s="2">
        <v>57</v>
      </c>
      <c r="B58" s="3" t="s">
        <v>119</v>
      </c>
      <c r="C58" s="2" t="s">
        <v>120</v>
      </c>
      <c r="D58" s="2">
        <v>10</v>
      </c>
      <c r="E58" s="2">
        <v>6106</v>
      </c>
      <c r="F58" s="2">
        <v>41.746899999999997</v>
      </c>
      <c r="G58" s="2">
        <v>-72.695930000000004</v>
      </c>
      <c r="H58" t="str">
        <f>_xlfn.XLOOKUP(Table1[[#This Row],[City_ID]],CITY!$A$2:$A$39,CITY!$D$2:$D$39)</f>
        <v>NorthEast</v>
      </c>
      <c r="I58">
        <v>4635</v>
      </c>
    </row>
    <row r="59" spans="1:9" x14ac:dyDescent="0.35">
      <c r="A59" s="2">
        <v>58</v>
      </c>
      <c r="B59" s="3" t="s">
        <v>121</v>
      </c>
      <c r="C59" s="2" t="s">
        <v>122</v>
      </c>
      <c r="D59" s="2">
        <v>17</v>
      </c>
      <c r="E59" s="2">
        <v>33701</v>
      </c>
      <c r="F59" s="2">
        <v>27.770949999999999</v>
      </c>
      <c r="G59" s="2">
        <v>-82.639309999999995</v>
      </c>
      <c r="H59" t="str">
        <f>_xlfn.XLOOKUP(Table1[[#This Row],[City_ID]],CITY!$A$2:$A$39,CITY!$D$2:$D$39)</f>
        <v>South</v>
      </c>
      <c r="I59">
        <v>10635</v>
      </c>
    </row>
    <row r="60" spans="1:9" x14ac:dyDescent="0.35">
      <c r="A60" s="2">
        <v>59</v>
      </c>
      <c r="B60" s="3" t="s">
        <v>123</v>
      </c>
      <c r="C60" s="2" t="s">
        <v>124</v>
      </c>
      <c r="D60" s="2">
        <v>31</v>
      </c>
      <c r="E60" s="2">
        <v>14646</v>
      </c>
      <c r="F60" s="2">
        <v>43.286020000000001</v>
      </c>
      <c r="G60" s="2">
        <v>-77.684259999999995</v>
      </c>
      <c r="H60" t="str">
        <f>_xlfn.XLOOKUP(Table1[[#This Row],[City_ID]],CITY!$A$2:$A$39,CITY!$D$2:$D$39)</f>
        <v>MidAtlantic</v>
      </c>
      <c r="I60">
        <v>5812</v>
      </c>
    </row>
    <row r="61" spans="1:9" x14ac:dyDescent="0.35">
      <c r="A61" s="2">
        <v>60</v>
      </c>
      <c r="B61" s="3" t="s">
        <v>125</v>
      </c>
      <c r="C61" s="2" t="s">
        <v>126</v>
      </c>
      <c r="D61" s="2">
        <v>32</v>
      </c>
      <c r="E61" s="2">
        <v>13492</v>
      </c>
      <c r="F61" s="2">
        <v>43.11627</v>
      </c>
      <c r="G61" s="2">
        <v>-75.311819999999997</v>
      </c>
      <c r="H61" t="str">
        <f>_xlfn.XLOOKUP(Table1[[#This Row],[City_ID]],CITY!$A$2:$A$39,CITY!$D$2:$D$39)</f>
        <v>MidAtlantic</v>
      </c>
      <c r="I61">
        <v>2255</v>
      </c>
    </row>
    <row r="62" spans="1:9" x14ac:dyDescent="0.35">
      <c r="A62" s="2">
        <v>61</v>
      </c>
      <c r="B62" s="3" t="s">
        <v>127</v>
      </c>
      <c r="C62" s="2" t="s">
        <v>128</v>
      </c>
      <c r="D62" s="2">
        <v>8</v>
      </c>
      <c r="E62" s="2">
        <v>93101</v>
      </c>
      <c r="F62" s="2">
        <v>34.420160000000003</v>
      </c>
      <c r="G62" s="2">
        <v>-119.70650000000001</v>
      </c>
      <c r="H62" t="str">
        <f>_xlfn.XLOOKUP(Table1[[#This Row],[City_ID]],CITY!$A$2:$A$39,CITY!$D$2:$D$39)</f>
        <v>West</v>
      </c>
      <c r="I62">
        <v>1339</v>
      </c>
    </row>
    <row r="63" spans="1:9" x14ac:dyDescent="0.35">
      <c r="A63" s="2">
        <v>62</v>
      </c>
      <c r="B63" s="3" t="s">
        <v>129</v>
      </c>
      <c r="C63" s="2" t="s">
        <v>130</v>
      </c>
      <c r="D63" s="2">
        <v>23</v>
      </c>
      <c r="E63" s="2">
        <v>8404</v>
      </c>
      <c r="F63" s="2">
        <v>39.5092</v>
      </c>
      <c r="G63" s="2">
        <v>-74.608549999999994</v>
      </c>
      <c r="H63" t="str">
        <f>_xlfn.XLOOKUP(Table1[[#This Row],[City_ID]],CITY!$A$2:$A$39,CITY!$D$2:$D$39)</f>
        <v>MidAtlantic</v>
      </c>
      <c r="I63">
        <v>3615</v>
      </c>
    </row>
    <row r="64" spans="1:9" x14ac:dyDescent="0.35">
      <c r="A64" s="2">
        <v>63</v>
      </c>
      <c r="B64" s="3" t="s">
        <v>131</v>
      </c>
      <c r="C64" s="2" t="s">
        <v>132</v>
      </c>
      <c r="D64" s="2">
        <v>14</v>
      </c>
      <c r="E64" s="2">
        <v>33301</v>
      </c>
      <c r="F64" s="2">
        <v>26.121110000000002</v>
      </c>
      <c r="G64" s="2">
        <v>-80.131870000000006</v>
      </c>
      <c r="H64" t="str">
        <f>_xlfn.XLOOKUP(Table1[[#This Row],[City_ID]],CITY!$A$2:$A$39,CITY!$D$2:$D$39)</f>
        <v>South</v>
      </c>
      <c r="I64">
        <v>3274</v>
      </c>
    </row>
    <row r="65" spans="1:9" x14ac:dyDescent="0.35">
      <c r="A65" s="2">
        <v>64</v>
      </c>
      <c r="B65" s="3" t="s">
        <v>133</v>
      </c>
      <c r="C65" s="2" t="s">
        <v>134</v>
      </c>
      <c r="D65" s="2">
        <v>3</v>
      </c>
      <c r="E65" s="2">
        <v>90035</v>
      </c>
      <c r="F65" s="2">
        <v>34.052660000000003</v>
      </c>
      <c r="G65" s="2">
        <v>-118.38531</v>
      </c>
      <c r="H65" t="str">
        <f>_xlfn.XLOOKUP(Table1[[#This Row],[City_ID]],CITY!$A$2:$A$39,CITY!$D$2:$D$39)</f>
        <v>West</v>
      </c>
      <c r="I65">
        <v>2361</v>
      </c>
    </row>
    <row r="66" spans="1:9" x14ac:dyDescent="0.35">
      <c r="A66" s="2">
        <v>65</v>
      </c>
      <c r="B66" s="3" t="s">
        <v>135</v>
      </c>
      <c r="C66" s="2" t="s">
        <v>136</v>
      </c>
      <c r="D66" s="2">
        <v>12</v>
      </c>
      <c r="E66" s="2">
        <v>6516</v>
      </c>
      <c r="F66" s="2">
        <v>41.27214</v>
      </c>
      <c r="G66" s="2">
        <v>-72.964960000000005</v>
      </c>
      <c r="H66" t="str">
        <f>_xlfn.XLOOKUP(Table1[[#This Row],[City_ID]],CITY!$A$2:$A$39,CITY!$D$2:$D$39)</f>
        <v>NorthEast</v>
      </c>
      <c r="I66">
        <v>534</v>
      </c>
    </row>
    <row r="67" spans="1:9" x14ac:dyDescent="0.35">
      <c r="A67" s="2">
        <v>66</v>
      </c>
      <c r="B67" s="3" t="s">
        <v>137</v>
      </c>
      <c r="C67" s="2" t="s">
        <v>138</v>
      </c>
      <c r="D67" s="2">
        <v>16</v>
      </c>
      <c r="E67" s="2">
        <v>32593</v>
      </c>
      <c r="F67" s="2">
        <v>30.614280000000001</v>
      </c>
      <c r="G67" s="2">
        <v>-87.275769999999994</v>
      </c>
      <c r="H67" t="str">
        <f>_xlfn.XLOOKUP(Table1[[#This Row],[City_ID]],CITY!$A$2:$A$39,CITY!$D$2:$D$39)</f>
        <v>South</v>
      </c>
      <c r="I67">
        <v>682</v>
      </c>
    </row>
    <row r="68" spans="1:9" x14ac:dyDescent="0.35">
      <c r="A68" s="2">
        <v>67</v>
      </c>
      <c r="B68" s="3" t="s">
        <v>139</v>
      </c>
      <c r="C68" s="2" t="s">
        <v>140</v>
      </c>
      <c r="D68" s="2">
        <v>15</v>
      </c>
      <c r="E68" s="2">
        <v>33166</v>
      </c>
      <c r="F68" s="2">
        <v>25.824719999999999</v>
      </c>
      <c r="G68" s="2">
        <v>-80.304760000000002</v>
      </c>
      <c r="H68" t="str">
        <f>_xlfn.XLOOKUP(Table1[[#This Row],[City_ID]],CITY!$A$2:$A$39,CITY!$D$2:$D$39)</f>
        <v>South</v>
      </c>
      <c r="I68">
        <v>5839</v>
      </c>
    </row>
    <row r="69" spans="1:9" x14ac:dyDescent="0.35">
      <c r="A69" s="2">
        <v>68</v>
      </c>
      <c r="B69" s="3" t="s">
        <v>141</v>
      </c>
      <c r="C69" s="2" t="s">
        <v>142</v>
      </c>
      <c r="D69" s="2">
        <v>38</v>
      </c>
      <c r="E69" s="2">
        <v>98122</v>
      </c>
      <c r="F69" s="2">
        <v>47.61157</v>
      </c>
      <c r="G69" s="2">
        <v>-122.30406000000001</v>
      </c>
      <c r="H69" t="str">
        <f>_xlfn.XLOOKUP(Table1[[#This Row],[City_ID]],CITY!$A$2:$A$39,CITY!$D$2:$D$39)</f>
        <v>West</v>
      </c>
      <c r="I69">
        <v>1702</v>
      </c>
    </row>
    <row r="70" spans="1:9" x14ac:dyDescent="0.35">
      <c r="A70" s="2">
        <v>69</v>
      </c>
      <c r="B70" s="3" t="s">
        <v>143</v>
      </c>
      <c r="C70" s="2" t="s">
        <v>144</v>
      </c>
      <c r="D70" s="2">
        <v>19</v>
      </c>
      <c r="E70" s="2">
        <v>2127</v>
      </c>
      <c r="F70" s="2">
        <v>42.334989999999998</v>
      </c>
      <c r="G70" s="2">
        <v>-71.04562</v>
      </c>
      <c r="H70" t="str">
        <f>_xlfn.XLOOKUP(Table1[[#This Row],[City_ID]],CITY!$A$2:$A$39,CITY!$D$2:$D$39)</f>
        <v>NorthEast</v>
      </c>
      <c r="I70">
        <v>2513</v>
      </c>
    </row>
    <row r="71" spans="1:9" x14ac:dyDescent="0.35">
      <c r="A71" s="2">
        <v>70</v>
      </c>
      <c r="B71" s="3" t="s">
        <v>145</v>
      </c>
      <c r="C71" s="2" t="s">
        <v>146</v>
      </c>
      <c r="D71" s="2">
        <v>19</v>
      </c>
      <c r="E71" s="2">
        <v>2127</v>
      </c>
      <c r="F71" s="2">
        <v>42.334989999999998</v>
      </c>
      <c r="G71" s="2">
        <v>-71.04562</v>
      </c>
      <c r="H71" t="str">
        <f>_xlfn.XLOOKUP(Table1[[#This Row],[City_ID]],CITY!$A$2:$A$39,CITY!$D$2:$D$39)</f>
        <v>NorthEast</v>
      </c>
      <c r="I71">
        <v>1729</v>
      </c>
    </row>
    <row r="72" spans="1:9" x14ac:dyDescent="0.35">
      <c r="A72" s="2">
        <v>71</v>
      </c>
      <c r="B72" s="3" t="s">
        <v>147</v>
      </c>
      <c r="C72" s="2" t="s">
        <v>148</v>
      </c>
      <c r="D72" s="2">
        <v>22</v>
      </c>
      <c r="E72" s="2">
        <v>39216</v>
      </c>
      <c r="F72" s="2">
        <v>32.33473</v>
      </c>
      <c r="G72" s="2">
        <v>-90.169330000000002</v>
      </c>
      <c r="H72" t="str">
        <f>_xlfn.XLOOKUP(Table1[[#This Row],[City_ID]],CITY!$A$2:$A$39,CITY!$D$2:$D$39)</f>
        <v>South</v>
      </c>
      <c r="I72">
        <v>4646</v>
      </c>
    </row>
    <row r="73" spans="1:9" x14ac:dyDescent="0.35">
      <c r="A73" s="2">
        <v>72</v>
      </c>
      <c r="B73" s="3" t="s">
        <v>149</v>
      </c>
      <c r="C73" s="2" t="s">
        <v>150</v>
      </c>
      <c r="D73" s="2">
        <v>16</v>
      </c>
      <c r="E73" s="2">
        <v>32506</v>
      </c>
      <c r="F73" s="2">
        <v>30.408799999999999</v>
      </c>
      <c r="G73" s="2">
        <v>-87.319190000000006</v>
      </c>
      <c r="H73" t="str">
        <f>_xlfn.XLOOKUP(Table1[[#This Row],[City_ID]],CITY!$A$2:$A$39,CITY!$D$2:$D$39)</f>
        <v>South</v>
      </c>
      <c r="I73">
        <v>9838</v>
      </c>
    </row>
    <row r="74" spans="1:9" x14ac:dyDescent="0.35">
      <c r="A74" s="2">
        <v>73</v>
      </c>
      <c r="B74" s="3" t="s">
        <v>151</v>
      </c>
      <c r="C74" s="2" t="s">
        <v>152</v>
      </c>
      <c r="D74" s="2">
        <v>5</v>
      </c>
      <c r="E74" s="2">
        <v>91325</v>
      </c>
      <c r="F74" s="2">
        <v>34.235050000000001</v>
      </c>
      <c r="G74" s="2">
        <v>-118.51766000000001</v>
      </c>
      <c r="H74" t="str">
        <f>_xlfn.XLOOKUP(Table1[[#This Row],[City_ID]],CITY!$A$2:$A$39,CITY!$D$2:$D$39)</f>
        <v>West</v>
      </c>
      <c r="I74">
        <v>5326</v>
      </c>
    </row>
    <row r="75" spans="1:9" x14ac:dyDescent="0.35">
      <c r="A75" s="2">
        <v>74</v>
      </c>
      <c r="B75" s="3" t="s">
        <v>153</v>
      </c>
      <c r="C75" s="2" t="s">
        <v>154</v>
      </c>
      <c r="D75" s="2">
        <v>4</v>
      </c>
      <c r="E75" s="2">
        <v>90039</v>
      </c>
      <c r="F75" s="2">
        <v>34.110419999999998</v>
      </c>
      <c r="G75" s="2">
        <v>-118.25832</v>
      </c>
      <c r="H75" t="str">
        <f>_xlfn.XLOOKUP(Table1[[#This Row],[City_ID]],CITY!$A$2:$A$39,CITY!$D$2:$D$39)</f>
        <v>West</v>
      </c>
      <c r="I75">
        <v>8865</v>
      </c>
    </row>
    <row r="76" spans="1:9" x14ac:dyDescent="0.35">
      <c r="A76" s="2">
        <v>75</v>
      </c>
      <c r="B76" s="3" t="s">
        <v>155</v>
      </c>
      <c r="C76" s="2" t="s">
        <v>156</v>
      </c>
      <c r="D76" s="2">
        <v>29</v>
      </c>
      <c r="E76" s="2">
        <v>11378</v>
      </c>
      <c r="F76" s="2">
        <v>40.724089999999997</v>
      </c>
      <c r="G76" s="2">
        <v>-73.902709999999999</v>
      </c>
      <c r="H76" t="str">
        <f>_xlfn.XLOOKUP(Table1[[#This Row],[City_ID]],CITY!$A$2:$A$39,CITY!$D$2:$D$39)</f>
        <v>MidAtlantic</v>
      </c>
      <c r="I76">
        <v>3368</v>
      </c>
    </row>
    <row r="77" spans="1:9" x14ac:dyDescent="0.35">
      <c r="A77" s="2">
        <v>76</v>
      </c>
      <c r="B77" s="3" t="s">
        <v>157</v>
      </c>
      <c r="C77" s="2" t="s">
        <v>158</v>
      </c>
      <c r="D77" s="2">
        <v>20</v>
      </c>
      <c r="E77" s="2">
        <v>2142</v>
      </c>
      <c r="F77" s="2">
        <v>42.362290000000002</v>
      </c>
      <c r="G77" s="2">
        <v>-71.084119999999999</v>
      </c>
      <c r="H77" t="str">
        <f>_xlfn.XLOOKUP(Table1[[#This Row],[City_ID]],CITY!$A$2:$A$39,CITY!$D$2:$D$39)</f>
        <v>NorthEast</v>
      </c>
      <c r="I77">
        <v>6974</v>
      </c>
    </row>
    <row r="78" spans="1:9" x14ac:dyDescent="0.35">
      <c r="A78" s="2">
        <v>77</v>
      </c>
      <c r="B78" s="3" t="s">
        <v>159</v>
      </c>
      <c r="C78" s="2" t="s">
        <v>160</v>
      </c>
      <c r="D78" s="2">
        <v>2</v>
      </c>
      <c r="E78" s="2">
        <v>85254</v>
      </c>
      <c r="F78" s="2">
        <v>33.6175</v>
      </c>
      <c r="G78" s="2">
        <v>-111.95416</v>
      </c>
      <c r="H78" t="str">
        <f>_xlfn.XLOOKUP(Table1[[#This Row],[City_ID]],CITY!$A$2:$A$39,CITY!$D$2:$D$39)</f>
        <v>West</v>
      </c>
      <c r="I78">
        <v>6614</v>
      </c>
    </row>
    <row r="79" spans="1:9" x14ac:dyDescent="0.35">
      <c r="A79" s="2">
        <v>78</v>
      </c>
      <c r="B79" s="3" t="s">
        <v>161</v>
      </c>
      <c r="C79" s="2" t="s">
        <v>162</v>
      </c>
      <c r="D79" s="2">
        <v>12</v>
      </c>
      <c r="E79" s="2">
        <v>6516</v>
      </c>
      <c r="F79" s="2">
        <v>41.27214</v>
      </c>
      <c r="G79" s="2">
        <v>-72.964960000000005</v>
      </c>
      <c r="H79" t="str">
        <f>_xlfn.XLOOKUP(Table1[[#This Row],[City_ID]],CITY!$A$2:$A$39,CITY!$D$2:$D$39)</f>
        <v>NorthEast</v>
      </c>
      <c r="I79">
        <v>9930</v>
      </c>
    </row>
    <row r="80" spans="1:9" x14ac:dyDescent="0.35">
      <c r="A80" s="2">
        <v>79</v>
      </c>
      <c r="B80" s="3" t="s">
        <v>163</v>
      </c>
      <c r="C80" s="2" t="s">
        <v>164</v>
      </c>
      <c r="D80" s="2">
        <v>1</v>
      </c>
      <c r="E80" s="2">
        <v>85021</v>
      </c>
      <c r="F80" s="2">
        <v>33.559429999999999</v>
      </c>
      <c r="G80" s="2">
        <v>-112.09281</v>
      </c>
      <c r="H80" t="str">
        <f>_xlfn.XLOOKUP(Table1[[#This Row],[City_ID]],CITY!$A$2:$A$39,CITY!$D$2:$D$39)</f>
        <v>West</v>
      </c>
      <c r="I80">
        <v>3017</v>
      </c>
    </row>
    <row r="81" spans="1:9" x14ac:dyDescent="0.35">
      <c r="A81" s="2">
        <v>80</v>
      </c>
      <c r="B81" s="3" t="s">
        <v>165</v>
      </c>
      <c r="C81" s="2" t="s">
        <v>166</v>
      </c>
      <c r="D81" s="2">
        <v>38</v>
      </c>
      <c r="E81" s="2">
        <v>98122</v>
      </c>
      <c r="F81" s="2">
        <v>47.61157</v>
      </c>
      <c r="G81" s="2">
        <v>-122.30406000000001</v>
      </c>
      <c r="H81" t="str">
        <f>_xlfn.XLOOKUP(Table1[[#This Row],[City_ID]],CITY!$A$2:$A$39,CITY!$D$2:$D$39)</f>
        <v>West</v>
      </c>
      <c r="I81">
        <v>3830</v>
      </c>
    </row>
    <row r="82" spans="1:9" x14ac:dyDescent="0.35">
      <c r="A82" s="2">
        <v>81</v>
      </c>
      <c r="B82" s="3" t="s">
        <v>167</v>
      </c>
      <c r="C82" s="2" t="s">
        <v>168</v>
      </c>
      <c r="D82" s="2">
        <v>36</v>
      </c>
      <c r="E82" s="2">
        <v>78219</v>
      </c>
      <c r="F82" s="2">
        <v>29.448370000000001</v>
      </c>
      <c r="G82" s="2">
        <v>-98.399079999999998</v>
      </c>
      <c r="H82" t="str">
        <f>_xlfn.XLOOKUP(Table1[[#This Row],[City_ID]],CITY!$A$2:$A$39,CITY!$D$2:$D$39)</f>
        <v>South</v>
      </c>
      <c r="I82">
        <v>2571</v>
      </c>
    </row>
    <row r="83" spans="1:9" x14ac:dyDescent="0.35">
      <c r="A83" s="2">
        <v>82</v>
      </c>
      <c r="B83" s="3" t="s">
        <v>169</v>
      </c>
      <c r="C83" s="2" t="s">
        <v>170</v>
      </c>
      <c r="D83" s="2">
        <v>6</v>
      </c>
      <c r="E83" s="2">
        <v>93035</v>
      </c>
      <c r="F83" s="2">
        <v>34.179299999999998</v>
      </c>
      <c r="G83" s="2">
        <v>-119.22189</v>
      </c>
      <c r="H83" t="str">
        <f>_xlfn.XLOOKUP(Table1[[#This Row],[City_ID]],CITY!$A$2:$A$39,CITY!$D$2:$D$39)</f>
        <v>West</v>
      </c>
      <c r="I83">
        <v>2528</v>
      </c>
    </row>
    <row r="84" spans="1:9" x14ac:dyDescent="0.35">
      <c r="A84" s="2">
        <v>83</v>
      </c>
      <c r="B84" s="3" t="s">
        <v>171</v>
      </c>
      <c r="C84" s="2" t="s">
        <v>172</v>
      </c>
      <c r="D84" s="2">
        <v>9</v>
      </c>
      <c r="E84" s="2">
        <v>91411</v>
      </c>
      <c r="F84" s="2">
        <v>34.1783</v>
      </c>
      <c r="G84" s="2">
        <v>-118.45858</v>
      </c>
      <c r="H84" t="str">
        <f>_xlfn.XLOOKUP(Table1[[#This Row],[City_ID]],CITY!$A$2:$A$39,CITY!$D$2:$D$39)</f>
        <v>West</v>
      </c>
      <c r="I84">
        <v>9612</v>
      </c>
    </row>
    <row r="85" spans="1:9" x14ac:dyDescent="0.35">
      <c r="A85" s="2">
        <v>84</v>
      </c>
      <c r="B85" s="3" t="s">
        <v>173</v>
      </c>
      <c r="C85" s="2" t="s">
        <v>174</v>
      </c>
      <c r="D85" s="2">
        <v>3</v>
      </c>
      <c r="E85" s="2">
        <v>90212</v>
      </c>
      <c r="F85" s="2">
        <v>34.060850000000002</v>
      </c>
      <c r="G85" s="2">
        <v>-118.40191</v>
      </c>
      <c r="H85" t="str">
        <f>_xlfn.XLOOKUP(Table1[[#This Row],[City_ID]],CITY!$A$2:$A$39,CITY!$D$2:$D$39)</f>
        <v>West</v>
      </c>
      <c r="I85">
        <v>7168</v>
      </c>
    </row>
    <row r="86" spans="1:9" x14ac:dyDescent="0.35">
      <c r="A86" s="2">
        <v>85</v>
      </c>
      <c r="B86" s="3" t="s">
        <v>175</v>
      </c>
      <c r="C86" s="2" t="s">
        <v>176</v>
      </c>
      <c r="D86" s="2">
        <v>10</v>
      </c>
      <c r="E86" s="2">
        <v>6144</v>
      </c>
      <c r="F86" s="2">
        <v>41.79177</v>
      </c>
      <c r="G86" s="2">
        <v>-72.718829999999997</v>
      </c>
      <c r="H86" t="str">
        <f>_xlfn.XLOOKUP(Table1[[#This Row],[City_ID]],CITY!$A$2:$A$39,CITY!$D$2:$D$39)</f>
        <v>NorthEast</v>
      </c>
      <c r="I86">
        <v>3096</v>
      </c>
    </row>
    <row r="87" spans="1:9" x14ac:dyDescent="0.35">
      <c r="A87" s="2">
        <v>86</v>
      </c>
      <c r="B87" s="3" t="s">
        <v>177</v>
      </c>
      <c r="C87" s="2" t="s">
        <v>178</v>
      </c>
      <c r="D87" s="2">
        <v>13</v>
      </c>
      <c r="E87" s="2">
        <v>6095</v>
      </c>
      <c r="F87" s="2">
        <v>41.857300000000002</v>
      </c>
      <c r="G87" s="2">
        <v>-72.666539999999998</v>
      </c>
      <c r="H87" t="str">
        <f>_xlfn.XLOOKUP(Table1[[#This Row],[City_ID]],CITY!$A$2:$A$39,CITY!$D$2:$D$39)</f>
        <v>NorthEast</v>
      </c>
      <c r="I87">
        <v>3452</v>
      </c>
    </row>
    <row r="88" spans="1:9" x14ac:dyDescent="0.35">
      <c r="A88" s="2">
        <v>87</v>
      </c>
      <c r="B88" s="3" t="s">
        <v>179</v>
      </c>
      <c r="C88" s="2" t="s">
        <v>180</v>
      </c>
      <c r="D88" s="2">
        <v>2</v>
      </c>
      <c r="E88" s="2">
        <v>85254</v>
      </c>
      <c r="F88" s="2">
        <v>33.6175</v>
      </c>
      <c r="G88" s="2">
        <v>-111.95416</v>
      </c>
      <c r="H88" t="str">
        <f>_xlfn.XLOOKUP(Table1[[#This Row],[City_ID]],CITY!$A$2:$A$39,CITY!$D$2:$D$39)</f>
        <v>West</v>
      </c>
      <c r="I88">
        <v>3948</v>
      </c>
    </row>
    <row r="89" spans="1:9" x14ac:dyDescent="0.35">
      <c r="A89" s="2">
        <v>88</v>
      </c>
      <c r="B89" s="3" t="s">
        <v>181</v>
      </c>
      <c r="C89" s="2" t="s">
        <v>182</v>
      </c>
      <c r="D89" s="2">
        <v>20</v>
      </c>
      <c r="E89" s="2">
        <v>2142</v>
      </c>
      <c r="F89" s="2">
        <v>42.362290000000002</v>
      </c>
      <c r="G89" s="2">
        <v>-71.084119999999999</v>
      </c>
      <c r="H89" t="str">
        <f>_xlfn.XLOOKUP(Table1[[#This Row],[City_ID]],CITY!$A$2:$A$39,CITY!$D$2:$D$39)</f>
        <v>NorthEast</v>
      </c>
      <c r="I89">
        <v>1815</v>
      </c>
    </row>
    <row r="90" spans="1:9" x14ac:dyDescent="0.35">
      <c r="A90" s="2">
        <v>89</v>
      </c>
      <c r="B90" s="3" t="s">
        <v>183</v>
      </c>
      <c r="C90" s="2" t="s">
        <v>184</v>
      </c>
      <c r="D90" s="2">
        <v>15</v>
      </c>
      <c r="E90" s="2">
        <v>33166</v>
      </c>
      <c r="F90" s="2">
        <v>25.824719999999999</v>
      </c>
      <c r="G90" s="2">
        <v>-80.304760000000002</v>
      </c>
      <c r="H90" t="str">
        <f>_xlfn.XLOOKUP(Table1[[#This Row],[City_ID]],CITY!$A$2:$A$39,CITY!$D$2:$D$39)</f>
        <v>South</v>
      </c>
      <c r="I90">
        <v>2960</v>
      </c>
    </row>
    <row r="91" spans="1:9" x14ac:dyDescent="0.35">
      <c r="A91" s="2">
        <v>90</v>
      </c>
      <c r="B91" s="3" t="s">
        <v>185</v>
      </c>
      <c r="C91" s="2" t="s">
        <v>186</v>
      </c>
      <c r="D91" s="2">
        <v>3</v>
      </c>
      <c r="E91" s="2">
        <v>90212</v>
      </c>
      <c r="F91" s="2">
        <v>34.060850000000002</v>
      </c>
      <c r="G91" s="2">
        <v>-118.40191</v>
      </c>
      <c r="H91" t="str">
        <f>_xlfn.XLOOKUP(Table1[[#This Row],[City_ID]],CITY!$A$2:$A$39,CITY!$D$2:$D$39)</f>
        <v>West</v>
      </c>
      <c r="I91">
        <v>1581</v>
      </c>
    </row>
    <row r="92" spans="1:9" x14ac:dyDescent="0.35">
      <c r="A92" s="2">
        <v>91</v>
      </c>
      <c r="B92" s="3" t="s">
        <v>187</v>
      </c>
      <c r="C92" s="2" t="s">
        <v>188</v>
      </c>
      <c r="D92" s="2">
        <v>12</v>
      </c>
      <c r="E92" s="2">
        <v>6516</v>
      </c>
      <c r="F92" s="2">
        <v>41.27214</v>
      </c>
      <c r="G92" s="2">
        <v>-72.964960000000005</v>
      </c>
      <c r="H92" t="str">
        <f>_xlfn.XLOOKUP(Table1[[#This Row],[City_ID]],CITY!$A$2:$A$39,CITY!$D$2:$D$39)</f>
        <v>NorthEast</v>
      </c>
      <c r="I92">
        <v>374</v>
      </c>
    </row>
    <row r="93" spans="1:9" x14ac:dyDescent="0.35">
      <c r="A93" s="2">
        <v>92</v>
      </c>
      <c r="B93" s="3" t="s">
        <v>189</v>
      </c>
      <c r="C93" s="2" t="s">
        <v>190</v>
      </c>
      <c r="D93" s="2">
        <v>26</v>
      </c>
      <c r="E93" s="2">
        <v>8075</v>
      </c>
      <c r="F93" s="2">
        <v>40.029359999999997</v>
      </c>
      <c r="G93" s="2">
        <v>-74.954099999999997</v>
      </c>
      <c r="H93" t="str">
        <f>_xlfn.XLOOKUP(Table1[[#This Row],[City_ID]],CITY!$A$2:$A$39,CITY!$D$2:$D$39)</f>
        <v>MidAtlantic</v>
      </c>
      <c r="I93">
        <v>321</v>
      </c>
    </row>
    <row r="94" spans="1:9" x14ac:dyDescent="0.35">
      <c r="A94" s="2">
        <v>93</v>
      </c>
      <c r="B94" s="3" t="s">
        <v>191</v>
      </c>
      <c r="C94" s="2" t="s">
        <v>192</v>
      </c>
      <c r="D94" s="2">
        <v>11</v>
      </c>
      <c r="E94" s="2">
        <v>6706</v>
      </c>
      <c r="F94" s="2">
        <v>41.537889999999997</v>
      </c>
      <c r="G94" s="2">
        <v>-73.028270000000006</v>
      </c>
      <c r="H94" t="str">
        <f>_xlfn.XLOOKUP(Table1[[#This Row],[City_ID]],CITY!$A$2:$A$39,CITY!$D$2:$D$39)</f>
        <v>NorthEast</v>
      </c>
      <c r="I94">
        <v>8510</v>
      </c>
    </row>
    <row r="95" spans="1:9" x14ac:dyDescent="0.35">
      <c r="A95" s="2">
        <v>94</v>
      </c>
      <c r="B95" s="3" t="s">
        <v>193</v>
      </c>
      <c r="C95" s="2" t="s">
        <v>194</v>
      </c>
      <c r="D95" s="2">
        <v>28</v>
      </c>
      <c r="E95" s="2">
        <v>6716</v>
      </c>
      <c r="F95" s="2">
        <v>41.59478</v>
      </c>
      <c r="G95" s="2">
        <v>-72.978890000000007</v>
      </c>
      <c r="H95" t="str">
        <f>_xlfn.XLOOKUP(Table1[[#This Row],[City_ID]],CITY!$A$2:$A$39,CITY!$D$2:$D$39)</f>
        <v>MidAtlantic</v>
      </c>
      <c r="I95">
        <v>2766</v>
      </c>
    </row>
    <row r="96" spans="1:9" x14ac:dyDescent="0.35">
      <c r="A96" s="2">
        <v>95</v>
      </c>
      <c r="B96" s="3" t="s">
        <v>195</v>
      </c>
      <c r="C96" s="2" t="s">
        <v>196</v>
      </c>
      <c r="D96" s="2">
        <v>9</v>
      </c>
      <c r="E96" s="2">
        <v>7070</v>
      </c>
      <c r="F96" s="2">
        <v>40.828919999999997</v>
      </c>
      <c r="G96" s="2">
        <v>-74.110640000000004</v>
      </c>
      <c r="H96" t="str">
        <f>_xlfn.XLOOKUP(Table1[[#This Row],[City_ID]],CITY!$A$2:$A$39,CITY!$D$2:$D$39)</f>
        <v>West</v>
      </c>
      <c r="I96">
        <v>4202</v>
      </c>
    </row>
    <row r="97" spans="1:9" x14ac:dyDescent="0.35">
      <c r="A97" s="2">
        <v>96</v>
      </c>
      <c r="B97" s="3" t="s">
        <v>197</v>
      </c>
      <c r="C97" s="2" t="s">
        <v>198</v>
      </c>
      <c r="D97" s="2">
        <v>21</v>
      </c>
      <c r="E97" s="2">
        <v>91406</v>
      </c>
      <c r="F97" s="2">
        <v>34.20149</v>
      </c>
      <c r="G97" s="2">
        <v>-118.49375999999999</v>
      </c>
      <c r="H97" t="str">
        <f>_xlfn.XLOOKUP(Table1[[#This Row],[City_ID]],CITY!$A$2:$A$39,CITY!$D$2:$D$39)</f>
        <v>South</v>
      </c>
      <c r="I97">
        <v>2240</v>
      </c>
    </row>
    <row r="98" spans="1:9" x14ac:dyDescent="0.35">
      <c r="A98" s="2">
        <v>97</v>
      </c>
      <c r="B98" s="3" t="s">
        <v>199</v>
      </c>
      <c r="C98" s="2" t="s">
        <v>200</v>
      </c>
      <c r="D98" s="2">
        <v>22</v>
      </c>
      <c r="E98" s="2">
        <v>39703</v>
      </c>
      <c r="F98" s="2">
        <v>33.484139999999996</v>
      </c>
      <c r="G98" s="2">
        <v>-88.283990000000003</v>
      </c>
      <c r="H98" t="str">
        <f>_xlfn.XLOOKUP(Table1[[#This Row],[City_ID]],CITY!$A$2:$A$39,CITY!$D$2:$D$39)</f>
        <v>South</v>
      </c>
      <c r="I98">
        <v>7657</v>
      </c>
    </row>
    <row r="99" spans="1:9" x14ac:dyDescent="0.35">
      <c r="A99" s="2">
        <v>98</v>
      </c>
      <c r="B99" s="3" t="s">
        <v>201</v>
      </c>
      <c r="C99" s="2" t="s">
        <v>202</v>
      </c>
      <c r="D99" s="2">
        <v>37</v>
      </c>
      <c r="E99" s="2">
        <v>39211</v>
      </c>
      <c r="F99" s="2">
        <v>32.370539999999998</v>
      </c>
      <c r="G99" s="2">
        <v>-90.1297</v>
      </c>
      <c r="H99" t="str">
        <f>_xlfn.XLOOKUP(Table1[[#This Row],[City_ID]],CITY!$A$2:$A$39,CITY!$D$2:$D$39)</f>
        <v>West</v>
      </c>
      <c r="I99">
        <v>5015</v>
      </c>
    </row>
    <row r="100" spans="1:9" x14ac:dyDescent="0.35">
      <c r="A100" s="2">
        <v>99</v>
      </c>
      <c r="B100" s="3" t="s">
        <v>203</v>
      </c>
      <c r="C100" s="2" t="s">
        <v>204</v>
      </c>
      <c r="D100" s="2">
        <v>8</v>
      </c>
      <c r="E100" s="2">
        <v>98003</v>
      </c>
      <c r="F100" s="2">
        <v>47.311070000000001</v>
      </c>
      <c r="G100" s="2">
        <v>-122.31188</v>
      </c>
      <c r="H100" t="str">
        <f>_xlfn.XLOOKUP(Table1[[#This Row],[City_ID]],CITY!$A$2:$A$39,CITY!$D$2:$D$39)</f>
        <v>West</v>
      </c>
      <c r="I100">
        <v>6071</v>
      </c>
    </row>
    <row r="101" spans="1:9" x14ac:dyDescent="0.35">
      <c r="A101" s="7">
        <v>100</v>
      </c>
      <c r="B101" s="8" t="s">
        <v>205</v>
      </c>
      <c r="C101" s="7" t="s">
        <v>206</v>
      </c>
      <c r="D101" s="7">
        <v>6</v>
      </c>
      <c r="E101" s="7">
        <v>93105</v>
      </c>
      <c r="F101" s="7">
        <v>34.440049999999999</v>
      </c>
      <c r="G101" s="7">
        <v>-119.75496</v>
      </c>
      <c r="H101" t="str">
        <f>_xlfn.XLOOKUP(Table1[[#This Row],[City_ID]],CITY!$A$2:$A$39,CITY!$D$2:$D$39)</f>
        <v>West</v>
      </c>
      <c r="I101">
        <v>9044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56"/>
  <sheetViews>
    <sheetView topLeftCell="B1" workbookViewId="0">
      <selection activeCell="M2" sqref="M2:M101"/>
    </sheetView>
  </sheetViews>
  <sheetFormatPr defaultRowHeight="14.5" x14ac:dyDescent="0.35"/>
  <cols>
    <col min="1" max="3" width="13.81640625" customWidth="1"/>
    <col min="4" max="4" width="15" customWidth="1"/>
    <col min="5" max="8" width="13.81640625" customWidth="1"/>
    <col min="9" max="9" width="18.54296875" customWidth="1"/>
    <col min="10" max="10" width="15.1796875" customWidth="1"/>
    <col min="11" max="11" width="18" customWidth="1"/>
  </cols>
  <sheetData>
    <row r="1" spans="1:13" x14ac:dyDescent="0.35">
      <c r="A1" s="6" t="s">
        <v>207</v>
      </c>
      <c r="B1" s="6" t="s">
        <v>208</v>
      </c>
      <c r="C1" s="6" t="s">
        <v>209</v>
      </c>
      <c r="D1" s="6" t="s">
        <v>0</v>
      </c>
      <c r="E1" s="6" t="s">
        <v>210</v>
      </c>
      <c r="F1" s="6" t="s">
        <v>211</v>
      </c>
      <c r="G1" s="6" t="s">
        <v>212</v>
      </c>
      <c r="H1" s="6" t="s">
        <v>892</v>
      </c>
      <c r="I1" s="6" t="s">
        <v>214</v>
      </c>
      <c r="J1" t="s">
        <v>893</v>
      </c>
      <c r="K1" t="s">
        <v>894</v>
      </c>
    </row>
    <row r="2" spans="1:13" x14ac:dyDescent="0.35">
      <c r="A2" s="4">
        <v>40394</v>
      </c>
      <c r="B2" s="2">
        <v>10248</v>
      </c>
      <c r="C2" s="2">
        <v>327</v>
      </c>
      <c r="D2" s="2">
        <v>1</v>
      </c>
      <c r="E2" s="2">
        <v>93</v>
      </c>
      <c r="F2" s="2">
        <v>1</v>
      </c>
      <c r="G2" s="2">
        <v>8</v>
      </c>
      <c r="H2" s="2">
        <v>78</v>
      </c>
      <c r="I2" s="2">
        <v>25</v>
      </c>
      <c r="J2" t="str">
        <f>_xlfn.XLOOKUP(Table2[[#This Row],[Customer_ID]],Table1[Customer_ID],Table1[Customer_Name])</f>
        <v>Agatha Clauss</v>
      </c>
      <c r="K2" s="14" t="s">
        <v>7</v>
      </c>
      <c r="L2">
        <f>SUMIFS(Table2[Order_Price],Table3[Name],K2)</f>
        <v>3921</v>
      </c>
      <c r="M2">
        <v>3921</v>
      </c>
    </row>
    <row r="3" spans="1:13" x14ac:dyDescent="0.35">
      <c r="A3" s="4">
        <v>40394</v>
      </c>
      <c r="B3" s="2">
        <v>10248</v>
      </c>
      <c r="C3" s="2">
        <v>425</v>
      </c>
      <c r="D3" s="2">
        <v>1</v>
      </c>
      <c r="E3" s="2">
        <v>93</v>
      </c>
      <c r="F3" s="2">
        <v>1</v>
      </c>
      <c r="G3" s="2">
        <v>2</v>
      </c>
      <c r="H3" s="2">
        <v>17</v>
      </c>
      <c r="I3" s="2">
        <v>25</v>
      </c>
      <c r="J3" t="str">
        <f>_xlfn.XLOOKUP(Table2[[#This Row],[Customer_ID]],Table1[Customer_ID],Table1[Customer_Name])</f>
        <v>Agatha Clauss</v>
      </c>
      <c r="K3" s="15" t="s">
        <v>9</v>
      </c>
      <c r="L3">
        <f>SUMIFS(Table2[Order_Price],Table3[Name],K3)</f>
        <v>3191</v>
      </c>
      <c r="M3">
        <v>3191</v>
      </c>
    </row>
    <row r="4" spans="1:13" x14ac:dyDescent="0.35">
      <c r="A4" s="4">
        <v>40394</v>
      </c>
      <c r="B4" s="2">
        <v>10248</v>
      </c>
      <c r="C4" s="2">
        <v>292</v>
      </c>
      <c r="D4" s="2">
        <v>1</v>
      </c>
      <c r="E4" s="2">
        <v>93</v>
      </c>
      <c r="F4" s="2">
        <v>1</v>
      </c>
      <c r="G4" s="2">
        <v>4</v>
      </c>
      <c r="H4" s="2">
        <v>4</v>
      </c>
      <c r="I4" s="2">
        <v>25</v>
      </c>
      <c r="J4" t="str">
        <f>_xlfn.XLOOKUP(Table2[[#This Row],[Customer_ID]],Table1[Customer_ID],Table1[Customer_Name])</f>
        <v>Agatha Clauss</v>
      </c>
      <c r="K4" s="14" t="s">
        <v>11</v>
      </c>
      <c r="L4">
        <f>SUMIFS(Table2[Order_Price],Table3[Name],K4)</f>
        <v>4030</v>
      </c>
      <c r="M4">
        <v>4030</v>
      </c>
    </row>
    <row r="5" spans="1:13" x14ac:dyDescent="0.35">
      <c r="A5" s="4">
        <v>40398</v>
      </c>
      <c r="B5" s="2">
        <v>10250</v>
      </c>
      <c r="C5" s="2">
        <v>413</v>
      </c>
      <c r="D5" s="2">
        <v>3</v>
      </c>
      <c r="E5" s="2">
        <v>40</v>
      </c>
      <c r="F5" s="2">
        <v>1</v>
      </c>
      <c r="G5" s="2">
        <v>5</v>
      </c>
      <c r="H5" s="2">
        <v>20</v>
      </c>
      <c r="I5" s="2">
        <v>25</v>
      </c>
      <c r="J5" t="str">
        <f>_xlfn.XLOOKUP(Table2[[#This Row],[Customer_ID]],Table1[Customer_ID],Table1[Customer_Name])</f>
        <v>Alonzo Stoltz</v>
      </c>
      <c r="K5" s="15" t="s">
        <v>13</v>
      </c>
      <c r="L5">
        <f>SUMIFS(Table2[Order_Price],Table3[Name],K5)</f>
        <v>7313</v>
      </c>
      <c r="M5">
        <v>7313</v>
      </c>
    </row>
    <row r="6" spans="1:13" x14ac:dyDescent="0.35">
      <c r="A6" s="4">
        <v>40398</v>
      </c>
      <c r="B6" s="2">
        <v>10250</v>
      </c>
      <c r="C6" s="2">
        <v>428</v>
      </c>
      <c r="D6" s="2">
        <v>3</v>
      </c>
      <c r="E6" s="2">
        <v>40</v>
      </c>
      <c r="F6" s="2">
        <v>1</v>
      </c>
      <c r="G6" s="2">
        <v>1</v>
      </c>
      <c r="H6" s="2">
        <v>15</v>
      </c>
      <c r="I6" s="2">
        <v>25</v>
      </c>
      <c r="J6" t="str">
        <f>_xlfn.XLOOKUP(Table2[[#This Row],[Customer_ID]],Table1[Customer_ID],Table1[Customer_Name])</f>
        <v>Alonzo Stoltz</v>
      </c>
      <c r="K6" s="14" t="s">
        <v>15</v>
      </c>
      <c r="L6">
        <f>SUMIFS(Table2[Order_Price],Table3[Name],K6)</f>
        <v>1152</v>
      </c>
      <c r="M6">
        <v>1152</v>
      </c>
    </row>
    <row r="7" spans="1:13" x14ac:dyDescent="0.35">
      <c r="A7" s="4">
        <v>40398</v>
      </c>
      <c r="B7" s="2">
        <v>10250</v>
      </c>
      <c r="C7" s="2">
        <v>254</v>
      </c>
      <c r="D7" s="2">
        <v>3</v>
      </c>
      <c r="E7" s="2">
        <v>40</v>
      </c>
      <c r="F7" s="2">
        <v>1</v>
      </c>
      <c r="G7" s="2">
        <v>3</v>
      </c>
      <c r="H7" s="2">
        <v>4</v>
      </c>
      <c r="I7" s="2">
        <v>25</v>
      </c>
      <c r="J7" t="str">
        <f>_xlfn.XLOOKUP(Table2[[#This Row],[Customer_ID]],Table1[Customer_ID],Table1[Customer_Name])</f>
        <v>Alonzo Stoltz</v>
      </c>
      <c r="K7" s="15" t="s">
        <v>17</v>
      </c>
      <c r="L7">
        <f>SUMIFS(Table2[Order_Price],Table3[Name],K7)</f>
        <v>775</v>
      </c>
      <c r="M7">
        <v>775</v>
      </c>
    </row>
    <row r="8" spans="1:13" x14ac:dyDescent="0.35">
      <c r="A8" s="4">
        <v>40399</v>
      </c>
      <c r="B8" s="2">
        <v>10252</v>
      </c>
      <c r="C8" s="2">
        <v>393</v>
      </c>
      <c r="D8" s="2">
        <v>5</v>
      </c>
      <c r="E8" s="2">
        <v>27</v>
      </c>
      <c r="F8" s="2">
        <v>1</v>
      </c>
      <c r="G8" s="2">
        <v>1</v>
      </c>
      <c r="H8" s="2">
        <v>10</v>
      </c>
      <c r="I8" s="2">
        <v>25</v>
      </c>
      <c r="J8" t="str">
        <f>_xlfn.XLOOKUP(Table2[[#This Row],[Customer_ID]],Table1[Customer_ID],Table1[Customer_Name])</f>
        <v>Anette Abdulla</v>
      </c>
      <c r="K8" s="14" t="s">
        <v>19</v>
      </c>
      <c r="L8">
        <f>SUMIFS(Table2[Order_Price],Table3[Name],K8)</f>
        <v>2476</v>
      </c>
      <c r="M8">
        <v>2476</v>
      </c>
    </row>
    <row r="9" spans="1:13" x14ac:dyDescent="0.35">
      <c r="A9" s="4">
        <v>40399</v>
      </c>
      <c r="B9" s="2">
        <v>10252</v>
      </c>
      <c r="C9" s="2">
        <v>387</v>
      </c>
      <c r="D9" s="2">
        <v>5</v>
      </c>
      <c r="E9" s="2">
        <v>27</v>
      </c>
      <c r="F9" s="2">
        <v>1</v>
      </c>
      <c r="G9" s="2">
        <v>1</v>
      </c>
      <c r="H9" s="2">
        <v>7</v>
      </c>
      <c r="I9" s="2">
        <v>25</v>
      </c>
      <c r="J9" t="str">
        <f>_xlfn.XLOOKUP(Table2[[#This Row],[Customer_ID]],Table1[Customer_ID],Table1[Customer_Name])</f>
        <v>Anette Abdulla</v>
      </c>
      <c r="K9" s="15" t="s">
        <v>21</v>
      </c>
      <c r="L9">
        <f>SUMIFS(Table2[Order_Price],Table3[Name],K9)</f>
        <v>3252</v>
      </c>
      <c r="M9">
        <v>3252</v>
      </c>
    </row>
    <row r="10" spans="1:13" x14ac:dyDescent="0.35">
      <c r="A10" s="4">
        <v>40399</v>
      </c>
      <c r="B10" s="2">
        <v>10252</v>
      </c>
      <c r="C10" s="2">
        <v>397</v>
      </c>
      <c r="D10" s="2">
        <v>5</v>
      </c>
      <c r="E10" s="2">
        <v>27</v>
      </c>
      <c r="F10" s="2">
        <v>1</v>
      </c>
      <c r="G10" s="2">
        <v>6</v>
      </c>
      <c r="H10" s="2">
        <v>12</v>
      </c>
      <c r="I10" s="2">
        <v>25</v>
      </c>
      <c r="J10" t="str">
        <f>_xlfn.XLOOKUP(Table2[[#This Row],[Customer_ID]],Table1[Customer_ID],Table1[Customer_Name])</f>
        <v>Anette Abdulla</v>
      </c>
      <c r="K10" s="14" t="s">
        <v>23</v>
      </c>
      <c r="L10">
        <f>SUMIFS(Table2[Order_Price],Table3[Name],K10)</f>
        <v>4072</v>
      </c>
      <c r="M10">
        <v>4072</v>
      </c>
    </row>
    <row r="11" spans="1:13" x14ac:dyDescent="0.35">
      <c r="A11" s="4">
        <v>40401</v>
      </c>
      <c r="B11" s="2">
        <v>10254</v>
      </c>
      <c r="C11" s="2">
        <v>186</v>
      </c>
      <c r="D11" s="2">
        <v>7</v>
      </c>
      <c r="E11" s="2">
        <v>32</v>
      </c>
      <c r="F11" s="2">
        <v>1</v>
      </c>
      <c r="G11" s="2">
        <v>1</v>
      </c>
      <c r="H11" s="2">
        <v>548</v>
      </c>
      <c r="I11" s="2">
        <v>25</v>
      </c>
      <c r="J11" t="str">
        <f>_xlfn.XLOOKUP(Table2[[#This Row],[Customer_ID]],Table1[Customer_ID],Table1[Customer_Name])</f>
        <v>Ardath Peaslee</v>
      </c>
      <c r="K11" s="15" t="s">
        <v>25</v>
      </c>
      <c r="L11">
        <f>SUMIFS(Table2[Order_Price],Table3[Name],K11)</f>
        <v>12125</v>
      </c>
      <c r="M11">
        <v>12125</v>
      </c>
    </row>
    <row r="12" spans="1:13" x14ac:dyDescent="0.35">
      <c r="A12" s="4">
        <v>40401</v>
      </c>
      <c r="B12" s="2">
        <v>10254</v>
      </c>
      <c r="C12" s="2">
        <v>184</v>
      </c>
      <c r="D12" s="2">
        <v>7</v>
      </c>
      <c r="E12" s="2">
        <v>32</v>
      </c>
      <c r="F12" s="2">
        <v>1</v>
      </c>
      <c r="G12" s="2">
        <v>3</v>
      </c>
      <c r="H12" s="2">
        <v>369</v>
      </c>
      <c r="I12" s="2">
        <v>25</v>
      </c>
      <c r="J12" t="str">
        <f>_xlfn.XLOOKUP(Table2[[#This Row],[Customer_ID]],Table1[Customer_ID],Table1[Customer_Name])</f>
        <v>Ardath Peaslee</v>
      </c>
      <c r="K12" s="14" t="s">
        <v>27</v>
      </c>
      <c r="L12">
        <f>SUMIFS(Table2[Order_Price],Table3[Name],K12)</f>
        <v>7750</v>
      </c>
      <c r="M12">
        <v>7750</v>
      </c>
    </row>
    <row r="13" spans="1:13" x14ac:dyDescent="0.35">
      <c r="A13" s="4">
        <v>40401</v>
      </c>
      <c r="B13" s="2">
        <v>10254</v>
      </c>
      <c r="C13" s="2">
        <v>185</v>
      </c>
      <c r="D13" s="2">
        <v>7</v>
      </c>
      <c r="E13" s="2">
        <v>32</v>
      </c>
      <c r="F13" s="2">
        <v>1</v>
      </c>
      <c r="G13" s="2">
        <v>4</v>
      </c>
      <c r="H13" s="2">
        <v>505</v>
      </c>
      <c r="I13" s="2">
        <v>25</v>
      </c>
      <c r="J13" t="str">
        <f>_xlfn.XLOOKUP(Table2[[#This Row],[Customer_ID]],Table1[Customer_ID],Table1[Customer_Name])</f>
        <v>Ardath Peaslee</v>
      </c>
      <c r="K13" s="15" t="s">
        <v>29</v>
      </c>
      <c r="L13">
        <f>SUMIFS(Table2[Order_Price],Table3[Name],K13)</f>
        <v>9445</v>
      </c>
      <c r="M13">
        <v>9445</v>
      </c>
    </row>
    <row r="14" spans="1:13" x14ac:dyDescent="0.35">
      <c r="A14" s="4">
        <v>40405</v>
      </c>
      <c r="B14" s="2">
        <v>10256</v>
      </c>
      <c r="C14" s="2">
        <v>118</v>
      </c>
      <c r="D14" s="2">
        <v>9</v>
      </c>
      <c r="E14" s="2">
        <v>97</v>
      </c>
      <c r="F14" s="2">
        <v>1</v>
      </c>
      <c r="G14" s="2">
        <v>8</v>
      </c>
      <c r="H14" s="2">
        <v>983</v>
      </c>
      <c r="I14" s="2">
        <v>25</v>
      </c>
      <c r="J14" t="str">
        <f>_xlfn.XLOOKUP(Table2[[#This Row],[Customer_ID]],Table1[Customer_ID],Table1[Customer_Name])</f>
        <v>Bernarda Caughey</v>
      </c>
      <c r="K14" s="14" t="s">
        <v>31</v>
      </c>
      <c r="L14">
        <f>SUMIFS(Table2[Order_Price],Table3[Name],K14)</f>
        <v>4763</v>
      </c>
      <c r="M14">
        <v>4763</v>
      </c>
    </row>
    <row r="15" spans="1:13" x14ac:dyDescent="0.35">
      <c r="A15" s="4">
        <v>40405</v>
      </c>
      <c r="B15" s="2">
        <v>10256</v>
      </c>
      <c r="C15" s="2">
        <v>119</v>
      </c>
      <c r="D15" s="2">
        <v>9</v>
      </c>
      <c r="E15" s="2">
        <v>97</v>
      </c>
      <c r="F15" s="2">
        <v>1</v>
      </c>
      <c r="G15" s="2">
        <v>3</v>
      </c>
      <c r="H15" s="2">
        <v>1302</v>
      </c>
      <c r="I15" s="2">
        <v>25</v>
      </c>
      <c r="J15" t="str">
        <f>_xlfn.XLOOKUP(Table2[[#This Row],[Customer_ID]],Table1[Customer_ID],Table1[Customer_Name])</f>
        <v>Bernarda Caughey</v>
      </c>
      <c r="K15" s="15" t="s">
        <v>33</v>
      </c>
      <c r="L15">
        <f>SUMIFS(Table2[Order_Price],Table3[Name],K15)</f>
        <v>3869</v>
      </c>
      <c r="M15">
        <v>3869</v>
      </c>
    </row>
    <row r="16" spans="1:13" x14ac:dyDescent="0.35">
      <c r="A16" s="4">
        <v>40407</v>
      </c>
      <c r="B16" s="2">
        <v>10258</v>
      </c>
      <c r="C16" s="2">
        <v>117</v>
      </c>
      <c r="D16" s="2">
        <v>11</v>
      </c>
      <c r="E16" s="2">
        <v>76</v>
      </c>
      <c r="F16" s="2">
        <v>1</v>
      </c>
      <c r="G16" s="2">
        <v>6</v>
      </c>
      <c r="H16" s="2">
        <v>3016</v>
      </c>
      <c r="I16" s="2">
        <v>25</v>
      </c>
      <c r="J16" t="str">
        <f>_xlfn.XLOOKUP(Table2[[#This Row],[Customer_ID]],Table1[Customer_ID],Table1[Customer_Name])</f>
        <v>Bonita Honaker</v>
      </c>
      <c r="K16" s="14" t="s">
        <v>35</v>
      </c>
      <c r="L16">
        <f>SUMIFS(Table2[Order_Price],Table3[Name],K16)</f>
        <v>7981</v>
      </c>
      <c r="M16">
        <v>7981</v>
      </c>
    </row>
    <row r="17" spans="1:13" x14ac:dyDescent="0.35">
      <c r="A17" s="4">
        <v>40407</v>
      </c>
      <c r="B17" s="2">
        <v>10258</v>
      </c>
      <c r="C17" s="2">
        <v>33</v>
      </c>
      <c r="D17" s="2">
        <v>11</v>
      </c>
      <c r="E17" s="2">
        <v>76</v>
      </c>
      <c r="F17" s="2">
        <v>1</v>
      </c>
      <c r="G17" s="2">
        <v>8</v>
      </c>
      <c r="H17" s="2">
        <v>32</v>
      </c>
      <c r="I17" s="2">
        <v>25</v>
      </c>
      <c r="J17" t="str">
        <f>_xlfn.XLOOKUP(Table2[[#This Row],[Customer_ID]],Table1[Customer_ID],Table1[Customer_Name])</f>
        <v>Bonita Honaker</v>
      </c>
      <c r="K17" s="15" t="s">
        <v>37</v>
      </c>
      <c r="L17">
        <f>SUMIFS(Table2[Order_Price],Table3[Name],K17)</f>
        <v>2685</v>
      </c>
      <c r="M17">
        <v>2685</v>
      </c>
    </row>
    <row r="18" spans="1:13" x14ac:dyDescent="0.35">
      <c r="A18" s="4">
        <v>40407</v>
      </c>
      <c r="B18" s="2">
        <v>10258</v>
      </c>
      <c r="C18" s="2">
        <v>116</v>
      </c>
      <c r="D18" s="2">
        <v>11</v>
      </c>
      <c r="E18" s="2">
        <v>76</v>
      </c>
      <c r="F18" s="2">
        <v>1</v>
      </c>
      <c r="G18" s="2">
        <v>2</v>
      </c>
      <c r="H18" s="2">
        <v>1825</v>
      </c>
      <c r="I18" s="2">
        <v>25</v>
      </c>
      <c r="J18" t="str">
        <f>_xlfn.XLOOKUP(Table2[[#This Row],[Customer_ID]],Table1[Customer_ID],Table1[Customer_Name])</f>
        <v>Bonita Honaker</v>
      </c>
      <c r="K18" s="14" t="s">
        <v>39</v>
      </c>
      <c r="L18">
        <f>SUMIFS(Table2[Order_Price],Table3[Name],K18)</f>
        <v>7049</v>
      </c>
      <c r="M18">
        <v>7049</v>
      </c>
    </row>
    <row r="19" spans="1:13" x14ac:dyDescent="0.35">
      <c r="A19" s="4">
        <v>40409</v>
      </c>
      <c r="B19" s="2">
        <v>10260</v>
      </c>
      <c r="C19" s="2">
        <v>313</v>
      </c>
      <c r="D19" s="2">
        <v>13</v>
      </c>
      <c r="E19" s="2">
        <v>30</v>
      </c>
      <c r="F19" s="2">
        <v>1</v>
      </c>
      <c r="G19" s="2">
        <v>1</v>
      </c>
      <c r="H19" s="2">
        <v>5</v>
      </c>
      <c r="I19" s="2">
        <v>25</v>
      </c>
      <c r="J19" t="str">
        <f>_xlfn.XLOOKUP(Table2[[#This Row],[Customer_ID]],Table1[Customer_ID],Table1[Customer_Name])</f>
        <v>Bryant Ertel</v>
      </c>
      <c r="K19" s="15" t="s">
        <v>41</v>
      </c>
      <c r="L19">
        <f>SUMIFS(Table2[Order_Price],Table3[Name],K19)</f>
        <v>2517</v>
      </c>
      <c r="M19">
        <v>2517</v>
      </c>
    </row>
    <row r="20" spans="1:13" x14ac:dyDescent="0.35">
      <c r="A20" s="4">
        <v>40409</v>
      </c>
      <c r="B20" s="2">
        <v>10260</v>
      </c>
      <c r="C20" s="2">
        <v>45</v>
      </c>
      <c r="D20" s="2">
        <v>13</v>
      </c>
      <c r="E20" s="2">
        <v>30</v>
      </c>
      <c r="F20" s="2">
        <v>1</v>
      </c>
      <c r="G20" s="2">
        <v>5</v>
      </c>
      <c r="H20" s="2">
        <v>31</v>
      </c>
      <c r="I20" s="2">
        <v>25</v>
      </c>
      <c r="J20" t="str">
        <f>_xlfn.XLOOKUP(Table2[[#This Row],[Customer_ID]],Table1[Customer_ID],Table1[Customer_Name])</f>
        <v>Bryant Ertel</v>
      </c>
      <c r="K20" s="14" t="s">
        <v>43</v>
      </c>
      <c r="L20">
        <f>SUMIFS(Table2[Order_Price],Table3[Name],K20)</f>
        <v>5557</v>
      </c>
      <c r="M20">
        <v>5557</v>
      </c>
    </row>
    <row r="21" spans="1:13" x14ac:dyDescent="0.35">
      <c r="A21" s="4">
        <v>40409</v>
      </c>
      <c r="B21" s="2">
        <v>10260</v>
      </c>
      <c r="C21" s="2">
        <v>200</v>
      </c>
      <c r="D21" s="2">
        <v>13</v>
      </c>
      <c r="E21" s="2">
        <v>30</v>
      </c>
      <c r="F21" s="2">
        <v>1</v>
      </c>
      <c r="G21" s="2">
        <v>5</v>
      </c>
      <c r="H21" s="2">
        <v>4</v>
      </c>
      <c r="I21" s="2">
        <v>25</v>
      </c>
      <c r="J21" t="str">
        <f>_xlfn.XLOOKUP(Table2[[#This Row],[Customer_ID]],Table1[Customer_ID],Table1[Customer_Name])</f>
        <v>Bryant Ertel</v>
      </c>
      <c r="K21" s="15" t="s">
        <v>45</v>
      </c>
      <c r="L21">
        <f>SUMIFS(Table2[Order_Price],Table3[Name],K21)</f>
        <v>5980</v>
      </c>
      <c r="M21">
        <v>5980</v>
      </c>
    </row>
    <row r="22" spans="1:13" x14ac:dyDescent="0.35">
      <c r="A22" s="4">
        <v>40409</v>
      </c>
      <c r="B22" s="2">
        <v>10260</v>
      </c>
      <c r="C22" s="2">
        <v>302</v>
      </c>
      <c r="D22" s="2">
        <v>13</v>
      </c>
      <c r="E22" s="2">
        <v>30</v>
      </c>
      <c r="F22" s="2">
        <v>1</v>
      </c>
      <c r="G22" s="2">
        <v>7</v>
      </c>
      <c r="H22" s="2">
        <v>15</v>
      </c>
      <c r="I22" s="2">
        <v>25</v>
      </c>
      <c r="J22" t="str">
        <f>_xlfn.XLOOKUP(Table2[[#This Row],[Customer_ID]],Table1[Customer_ID],Table1[Customer_Name])</f>
        <v>Bryant Ertel</v>
      </c>
      <c r="K22" s="14" t="s">
        <v>47</v>
      </c>
      <c r="L22">
        <f>SUMIFS(Table2[Order_Price],Table3[Name],K22)</f>
        <v>4115</v>
      </c>
      <c r="M22">
        <v>4115</v>
      </c>
    </row>
    <row r="23" spans="1:13" x14ac:dyDescent="0.35">
      <c r="A23" s="4">
        <v>40412</v>
      </c>
      <c r="B23" s="2">
        <v>10262</v>
      </c>
      <c r="C23" s="2">
        <v>46</v>
      </c>
      <c r="D23" s="2">
        <v>15</v>
      </c>
      <c r="E23" s="2">
        <v>11</v>
      </c>
      <c r="F23" s="2">
        <v>1</v>
      </c>
      <c r="G23" s="2">
        <v>6</v>
      </c>
      <c r="H23" s="2">
        <v>33</v>
      </c>
      <c r="I23" s="2">
        <v>25</v>
      </c>
      <c r="J23" t="str">
        <f>_xlfn.XLOOKUP(Table2[[#This Row],[Customer_ID]],Table1[Customer_ID],Table1[Customer_Name])</f>
        <v>Caryn Conry</v>
      </c>
      <c r="K23" s="15" t="s">
        <v>49</v>
      </c>
      <c r="L23">
        <f>SUMIFS(Table2[Order_Price],Table3[Name],K23)</f>
        <v>9325</v>
      </c>
      <c r="M23">
        <v>9325</v>
      </c>
    </row>
    <row r="24" spans="1:13" x14ac:dyDescent="0.35">
      <c r="A24" s="4">
        <v>40412</v>
      </c>
      <c r="B24" s="2">
        <v>10262</v>
      </c>
      <c r="C24" s="2">
        <v>263</v>
      </c>
      <c r="D24" s="2">
        <v>15</v>
      </c>
      <c r="E24" s="2">
        <v>11</v>
      </c>
      <c r="F24" s="2">
        <v>1</v>
      </c>
      <c r="G24" s="2">
        <v>2</v>
      </c>
      <c r="H24" s="2">
        <v>3</v>
      </c>
      <c r="I24" s="2">
        <v>25</v>
      </c>
      <c r="J24" t="str">
        <f>_xlfn.XLOOKUP(Table2[[#This Row],[Customer_ID]],Table1[Customer_ID],Table1[Customer_Name])</f>
        <v>Caryn Conry</v>
      </c>
      <c r="K24" s="14" t="s">
        <v>51</v>
      </c>
      <c r="L24">
        <f>SUMIFS(Table2[Order_Price],Table3[Name],K24)</f>
        <v>5155</v>
      </c>
      <c r="M24">
        <v>5155</v>
      </c>
    </row>
    <row r="25" spans="1:13" x14ac:dyDescent="0.35">
      <c r="A25" s="4">
        <v>40412</v>
      </c>
      <c r="B25" s="2">
        <v>10262</v>
      </c>
      <c r="C25" s="2">
        <v>401</v>
      </c>
      <c r="D25" s="2">
        <v>15</v>
      </c>
      <c r="E25" s="2">
        <v>11</v>
      </c>
      <c r="F25" s="2">
        <v>1</v>
      </c>
      <c r="G25" s="2">
        <v>3</v>
      </c>
      <c r="H25" s="2">
        <v>13</v>
      </c>
      <c r="I25" s="2">
        <v>25</v>
      </c>
      <c r="J25" t="str">
        <f>_xlfn.XLOOKUP(Table2[[#This Row],[Customer_ID]],Table1[Customer_ID],Table1[Customer_Name])</f>
        <v>Caryn Conry</v>
      </c>
      <c r="K25" s="15" t="s">
        <v>53</v>
      </c>
      <c r="L25">
        <f>SUMIFS(Table2[Order_Price],Table3[Name],K25)</f>
        <v>5666</v>
      </c>
      <c r="M25">
        <v>5666</v>
      </c>
    </row>
    <row r="26" spans="1:13" x14ac:dyDescent="0.35">
      <c r="A26" s="4">
        <v>40414</v>
      </c>
      <c r="B26" s="2">
        <v>10264</v>
      </c>
      <c r="C26" s="2">
        <v>394</v>
      </c>
      <c r="D26" s="2">
        <v>17</v>
      </c>
      <c r="E26" s="2">
        <v>20</v>
      </c>
      <c r="F26" s="2">
        <v>1</v>
      </c>
      <c r="G26" s="2">
        <v>2</v>
      </c>
      <c r="H26" s="2">
        <v>10</v>
      </c>
      <c r="I26" s="2">
        <v>25</v>
      </c>
      <c r="J26" t="str">
        <f>_xlfn.XLOOKUP(Table2[[#This Row],[Customer_ID]],Table1[Customer_ID],Table1[Customer_Name])</f>
        <v>Cecelia Beeler</v>
      </c>
      <c r="K26" s="14" t="s">
        <v>55</v>
      </c>
      <c r="L26">
        <f>SUMIFS(Table2[Order_Price],Table3[Name],K26)</f>
        <v>6136</v>
      </c>
      <c r="M26">
        <v>6136</v>
      </c>
    </row>
    <row r="27" spans="1:13" x14ac:dyDescent="0.35">
      <c r="A27" s="4">
        <v>40414</v>
      </c>
      <c r="B27" s="2">
        <v>10264</v>
      </c>
      <c r="C27" s="2">
        <v>307</v>
      </c>
      <c r="D27" s="2">
        <v>17</v>
      </c>
      <c r="E27" s="2">
        <v>20</v>
      </c>
      <c r="F27" s="2">
        <v>1</v>
      </c>
      <c r="G27" s="2">
        <v>4</v>
      </c>
      <c r="H27" s="2">
        <v>14</v>
      </c>
      <c r="I27" s="2">
        <v>25</v>
      </c>
      <c r="J27" t="str">
        <f>_xlfn.XLOOKUP(Table2[[#This Row],[Customer_ID]],Table1[Customer_ID],Table1[Customer_Name])</f>
        <v>Cecelia Beeler</v>
      </c>
      <c r="K27" s="15" t="s">
        <v>57</v>
      </c>
      <c r="L27">
        <f>SUMIFS(Table2[Order_Price],Table3[Name],K27)</f>
        <v>3943</v>
      </c>
      <c r="M27">
        <v>3943</v>
      </c>
    </row>
    <row r="28" spans="1:13" x14ac:dyDescent="0.35">
      <c r="A28" s="4">
        <v>40416</v>
      </c>
      <c r="B28" s="2">
        <v>10266</v>
      </c>
      <c r="C28" s="2">
        <v>67</v>
      </c>
      <c r="D28" s="2">
        <v>19</v>
      </c>
      <c r="E28" s="2">
        <v>57</v>
      </c>
      <c r="F28" s="2">
        <v>1</v>
      </c>
      <c r="G28" s="2">
        <v>5</v>
      </c>
      <c r="H28" s="2">
        <v>8</v>
      </c>
      <c r="I28" s="2">
        <v>25</v>
      </c>
      <c r="J28" t="str">
        <f>_xlfn.XLOOKUP(Table2[[#This Row],[Customer_ID]],Table1[Customer_ID],Table1[Customer_Name])</f>
        <v>Charlyn Sanroman</v>
      </c>
      <c r="K28" s="14" t="s">
        <v>59</v>
      </c>
      <c r="L28">
        <f>SUMIFS(Table2[Order_Price],Table3[Name],K28)</f>
        <v>2366</v>
      </c>
      <c r="M28">
        <v>2366</v>
      </c>
    </row>
    <row r="29" spans="1:13" x14ac:dyDescent="0.35">
      <c r="A29" s="4">
        <v>40420</v>
      </c>
      <c r="B29" s="2">
        <v>10268</v>
      </c>
      <c r="C29" s="2">
        <v>157</v>
      </c>
      <c r="D29" s="2">
        <v>21</v>
      </c>
      <c r="E29" s="2">
        <v>61</v>
      </c>
      <c r="F29" s="2">
        <v>1</v>
      </c>
      <c r="G29" s="2">
        <v>5</v>
      </c>
      <c r="H29" s="2">
        <v>1297</v>
      </c>
      <c r="I29" s="2">
        <v>25</v>
      </c>
      <c r="J29" t="str">
        <f>_xlfn.XLOOKUP(Table2[[#This Row],[Customer_ID]],Table1[Customer_ID],Table1[Customer_Name])</f>
        <v>Clemencia Gwyn</v>
      </c>
      <c r="K29" s="15" t="s">
        <v>61</v>
      </c>
      <c r="L29">
        <f>SUMIFS(Table2[Order_Price],Table3[Name],K29)</f>
        <v>3519</v>
      </c>
      <c r="M29">
        <v>3519</v>
      </c>
    </row>
    <row r="30" spans="1:13" x14ac:dyDescent="0.35">
      <c r="A30" s="4">
        <v>40422</v>
      </c>
      <c r="B30" s="2">
        <v>10270</v>
      </c>
      <c r="C30" s="2">
        <v>137</v>
      </c>
      <c r="D30" s="2">
        <v>23</v>
      </c>
      <c r="E30" s="2">
        <v>80</v>
      </c>
      <c r="F30" s="2">
        <v>1</v>
      </c>
      <c r="G30" s="2">
        <v>2</v>
      </c>
      <c r="H30" s="2">
        <v>68</v>
      </c>
      <c r="I30" s="2">
        <v>25</v>
      </c>
      <c r="J30" t="str">
        <f>_xlfn.XLOOKUP(Table2[[#This Row],[Customer_ID]],Table1[Customer_ID],Table1[Customer_Name])</f>
        <v>Collette Romain</v>
      </c>
      <c r="K30" s="14" t="s">
        <v>63</v>
      </c>
      <c r="L30">
        <f>SUMIFS(Table2[Order_Price],Table3[Name],K30)</f>
        <v>5875</v>
      </c>
      <c r="M30">
        <v>5875</v>
      </c>
    </row>
    <row r="31" spans="1:13" x14ac:dyDescent="0.35">
      <c r="A31" s="4">
        <v>40422</v>
      </c>
      <c r="B31" s="2">
        <v>10270</v>
      </c>
      <c r="C31" s="2">
        <v>142</v>
      </c>
      <c r="D31" s="2">
        <v>23</v>
      </c>
      <c r="E31" s="2">
        <v>80</v>
      </c>
      <c r="F31" s="2">
        <v>1</v>
      </c>
      <c r="G31" s="2">
        <v>2</v>
      </c>
      <c r="H31" s="2">
        <v>164</v>
      </c>
      <c r="I31" s="2">
        <v>25</v>
      </c>
      <c r="J31" t="str">
        <f>_xlfn.XLOOKUP(Table2[[#This Row],[Customer_ID]],Table1[Customer_ID],Table1[Customer_Name])</f>
        <v>Collette Romain</v>
      </c>
      <c r="K31" s="15" t="s">
        <v>65</v>
      </c>
      <c r="L31">
        <f>SUMIFS(Table2[Order_Price],Table3[Name],K31)</f>
        <v>8128</v>
      </c>
      <c r="M31">
        <v>8128</v>
      </c>
    </row>
    <row r="32" spans="1:13" x14ac:dyDescent="0.35">
      <c r="A32" s="4">
        <v>40423</v>
      </c>
      <c r="B32" s="2">
        <v>10272</v>
      </c>
      <c r="C32" s="2">
        <v>224</v>
      </c>
      <c r="D32" s="2">
        <v>25</v>
      </c>
      <c r="E32" s="2">
        <v>65</v>
      </c>
      <c r="F32" s="2">
        <v>1</v>
      </c>
      <c r="G32" s="2">
        <v>1</v>
      </c>
      <c r="H32" s="2">
        <v>5</v>
      </c>
      <c r="I32" s="2">
        <v>25</v>
      </c>
      <c r="J32" t="str">
        <f>_xlfn.XLOOKUP(Table2[[#This Row],[Customer_ID]],Table1[Customer_ID],Table1[Customer_Name])</f>
        <v>Cristy Claire</v>
      </c>
      <c r="K32" s="14" t="s">
        <v>67</v>
      </c>
      <c r="L32">
        <f>SUMIFS(Table2[Order_Price],Table3[Name],K32)</f>
        <v>6997</v>
      </c>
      <c r="M32">
        <v>6997</v>
      </c>
    </row>
    <row r="33" spans="1:13" x14ac:dyDescent="0.35">
      <c r="A33" s="4">
        <v>40423</v>
      </c>
      <c r="B33" s="2">
        <v>10272</v>
      </c>
      <c r="C33" s="2">
        <v>291</v>
      </c>
      <c r="D33" s="2">
        <v>25</v>
      </c>
      <c r="E33" s="2">
        <v>65</v>
      </c>
      <c r="F33" s="2">
        <v>1</v>
      </c>
      <c r="G33" s="2">
        <v>1</v>
      </c>
      <c r="H33" s="2">
        <v>3</v>
      </c>
      <c r="I33" s="2">
        <v>25</v>
      </c>
      <c r="J33" t="str">
        <f>_xlfn.XLOOKUP(Table2[[#This Row],[Customer_ID]],Table1[Customer_ID],Table1[Customer_Name])</f>
        <v>Cristy Claire</v>
      </c>
      <c r="K33" s="15" t="s">
        <v>69</v>
      </c>
      <c r="L33">
        <f>SUMIFS(Table2[Order_Price],Table3[Name],K33)</f>
        <v>5979</v>
      </c>
      <c r="M33">
        <v>5979</v>
      </c>
    </row>
    <row r="34" spans="1:13" x14ac:dyDescent="0.35">
      <c r="A34" s="4">
        <v>40423</v>
      </c>
      <c r="B34" s="2">
        <v>10272</v>
      </c>
      <c r="C34" s="2">
        <v>297</v>
      </c>
      <c r="D34" s="2">
        <v>25</v>
      </c>
      <c r="E34" s="2">
        <v>65</v>
      </c>
      <c r="F34" s="2">
        <v>1</v>
      </c>
      <c r="G34" s="2">
        <v>5</v>
      </c>
      <c r="H34" s="2">
        <v>3</v>
      </c>
      <c r="I34" s="2">
        <v>25</v>
      </c>
      <c r="J34" t="str">
        <f>_xlfn.XLOOKUP(Table2[[#This Row],[Customer_ID]],Table1[Customer_ID],Table1[Customer_Name])</f>
        <v>Cristy Claire</v>
      </c>
      <c r="K34" s="14" t="s">
        <v>71</v>
      </c>
      <c r="L34">
        <f>SUMIFS(Table2[Order_Price],Table3[Name],K34)</f>
        <v>11668</v>
      </c>
      <c r="M34">
        <v>11668</v>
      </c>
    </row>
    <row r="35" spans="1:13" x14ac:dyDescent="0.35">
      <c r="A35" s="4">
        <v>40427</v>
      </c>
      <c r="B35" s="2">
        <v>10274</v>
      </c>
      <c r="C35" s="2">
        <v>364</v>
      </c>
      <c r="D35" s="2">
        <v>27</v>
      </c>
      <c r="E35" s="2">
        <v>54</v>
      </c>
      <c r="F35" s="2">
        <v>1</v>
      </c>
      <c r="G35" s="2">
        <v>1</v>
      </c>
      <c r="H35" s="2">
        <v>6</v>
      </c>
      <c r="I35" s="2">
        <v>25</v>
      </c>
      <c r="J35" t="str">
        <f>_xlfn.XLOOKUP(Table2[[#This Row],[Customer_ID]],Table1[Customer_ID],Table1[Customer_Name])</f>
        <v>Daniel Emmerich</v>
      </c>
      <c r="K35" s="15" t="s">
        <v>73</v>
      </c>
      <c r="L35">
        <f>SUMIFS(Table2[Order_Price],Table3[Name],K35)</f>
        <v>7349</v>
      </c>
      <c r="M35">
        <v>7349</v>
      </c>
    </row>
    <row r="36" spans="1:13" x14ac:dyDescent="0.35">
      <c r="A36" s="4">
        <v>40427</v>
      </c>
      <c r="B36" s="2">
        <v>10274</v>
      </c>
      <c r="C36" s="2">
        <v>95</v>
      </c>
      <c r="D36" s="2">
        <v>27</v>
      </c>
      <c r="E36" s="2">
        <v>54</v>
      </c>
      <c r="F36" s="2">
        <v>1</v>
      </c>
      <c r="G36" s="2">
        <v>2</v>
      </c>
      <c r="H36" s="2">
        <v>895</v>
      </c>
      <c r="I36" s="2">
        <v>25</v>
      </c>
      <c r="J36" t="str">
        <f>_xlfn.XLOOKUP(Table2[[#This Row],[Customer_ID]],Table1[Customer_ID],Table1[Customer_Name])</f>
        <v>Daniel Emmerich</v>
      </c>
      <c r="K36" s="14" t="s">
        <v>75</v>
      </c>
      <c r="L36">
        <f>SUMIFS(Table2[Order_Price],Table3[Name],K36)</f>
        <v>6848</v>
      </c>
      <c r="M36">
        <v>6848</v>
      </c>
    </row>
    <row r="37" spans="1:13" ht="29" x14ac:dyDescent="0.35">
      <c r="A37" s="4">
        <v>40429</v>
      </c>
      <c r="B37" s="2">
        <v>10276</v>
      </c>
      <c r="C37" s="2">
        <v>100</v>
      </c>
      <c r="D37" s="2">
        <v>29</v>
      </c>
      <c r="E37" s="2">
        <v>81</v>
      </c>
      <c r="F37" s="2">
        <v>1</v>
      </c>
      <c r="G37" s="2">
        <v>2</v>
      </c>
      <c r="H37" s="2">
        <v>1577</v>
      </c>
      <c r="I37" s="2">
        <v>25</v>
      </c>
      <c r="J37" t="str">
        <f>_xlfn.XLOOKUP(Table2[[#This Row],[Customer_ID]],Table1[Customer_ID],Table1[Customer_Name])</f>
        <v>Deneen Client</v>
      </c>
      <c r="K37" s="15" t="s">
        <v>77</v>
      </c>
      <c r="L37">
        <f>SUMIFS(Table2[Order_Price],Table3[Name],K37)</f>
        <v>1522</v>
      </c>
      <c r="M37">
        <v>1522</v>
      </c>
    </row>
    <row r="38" spans="1:13" x14ac:dyDescent="0.35">
      <c r="A38" s="4">
        <v>40429</v>
      </c>
      <c r="B38" s="2">
        <v>10276</v>
      </c>
      <c r="C38" s="2">
        <v>101</v>
      </c>
      <c r="D38" s="2">
        <v>29</v>
      </c>
      <c r="E38" s="2">
        <v>81</v>
      </c>
      <c r="F38" s="2">
        <v>1</v>
      </c>
      <c r="G38" s="2">
        <v>2</v>
      </c>
      <c r="H38" s="2">
        <v>706</v>
      </c>
      <c r="I38" s="2">
        <v>25</v>
      </c>
      <c r="J38" t="str">
        <f>_xlfn.XLOOKUP(Table2[[#This Row],[Customer_ID]],Table1[Customer_ID],Table1[Customer_Name])</f>
        <v>Deneen Client</v>
      </c>
      <c r="K38" s="14" t="s">
        <v>79</v>
      </c>
      <c r="L38">
        <f>SUMIFS(Table2[Order_Price],Table3[Name],K38)</f>
        <v>3600</v>
      </c>
      <c r="M38">
        <v>3600</v>
      </c>
    </row>
    <row r="39" spans="1:13" x14ac:dyDescent="0.35">
      <c r="A39" s="4">
        <v>40433</v>
      </c>
      <c r="B39" s="2">
        <v>10278</v>
      </c>
      <c r="C39" s="2">
        <v>89</v>
      </c>
      <c r="D39" s="2">
        <v>31</v>
      </c>
      <c r="E39" s="2">
        <v>55</v>
      </c>
      <c r="F39" s="2">
        <v>1</v>
      </c>
      <c r="G39" s="2">
        <v>3</v>
      </c>
      <c r="H39" s="2">
        <v>543</v>
      </c>
      <c r="I39" s="2">
        <v>25</v>
      </c>
      <c r="J39" t="str">
        <f>_xlfn.XLOOKUP(Table2[[#This Row],[Customer_ID]],Table1[Customer_ID],Table1[Customer_Name])</f>
        <v>Dona Kinkade</v>
      </c>
      <c r="K39" s="15" t="s">
        <v>81</v>
      </c>
      <c r="L39">
        <f>SUMIFS(Table2[Order_Price],Table3[Name],K39)</f>
        <v>4177</v>
      </c>
      <c r="M39">
        <v>4177</v>
      </c>
    </row>
    <row r="40" spans="1:13" x14ac:dyDescent="0.35">
      <c r="A40" s="4">
        <v>40433</v>
      </c>
      <c r="B40" s="2">
        <v>10278</v>
      </c>
      <c r="C40" s="2">
        <v>91</v>
      </c>
      <c r="D40" s="2">
        <v>31</v>
      </c>
      <c r="E40" s="2">
        <v>55</v>
      </c>
      <c r="F40" s="2">
        <v>1</v>
      </c>
      <c r="G40" s="2">
        <v>1</v>
      </c>
      <c r="H40" s="2">
        <v>480</v>
      </c>
      <c r="I40" s="2">
        <v>25</v>
      </c>
      <c r="J40" t="str">
        <f>_xlfn.XLOOKUP(Table2[[#This Row],[Customer_ID]],Table1[Customer_ID],Table1[Customer_Name])</f>
        <v>Dona Kinkade</v>
      </c>
      <c r="K40" s="14" t="s">
        <v>83</v>
      </c>
      <c r="L40">
        <f>SUMIFS(Table2[Order_Price],Table3[Name],K40)</f>
        <v>3237</v>
      </c>
      <c r="M40">
        <v>3237</v>
      </c>
    </row>
    <row r="41" spans="1:13" x14ac:dyDescent="0.35">
      <c r="A41" s="4">
        <v>40433</v>
      </c>
      <c r="B41" s="2">
        <v>10278</v>
      </c>
      <c r="C41" s="2">
        <v>94</v>
      </c>
      <c r="D41" s="2">
        <v>31</v>
      </c>
      <c r="E41" s="2">
        <v>55</v>
      </c>
      <c r="F41" s="2">
        <v>1</v>
      </c>
      <c r="G41" s="2">
        <v>1</v>
      </c>
      <c r="H41" s="2">
        <v>487</v>
      </c>
      <c r="I41" s="2">
        <v>25</v>
      </c>
      <c r="J41" t="str">
        <f>_xlfn.XLOOKUP(Table2[[#This Row],[Customer_ID]],Table1[Customer_ID],Table1[Customer_Name])</f>
        <v>Dona Kinkade</v>
      </c>
      <c r="K41" s="15" t="s">
        <v>85</v>
      </c>
      <c r="L41">
        <f>SUMIFS(Table2[Order_Price],Table3[Name],K41)</f>
        <v>1916</v>
      </c>
      <c r="M41">
        <v>1916</v>
      </c>
    </row>
    <row r="42" spans="1:13" x14ac:dyDescent="0.35">
      <c r="A42" s="4">
        <v>40433</v>
      </c>
      <c r="B42" s="2">
        <v>10278</v>
      </c>
      <c r="C42" s="2">
        <v>96</v>
      </c>
      <c r="D42" s="2">
        <v>31</v>
      </c>
      <c r="E42" s="2">
        <v>55</v>
      </c>
      <c r="F42" s="2">
        <v>1</v>
      </c>
      <c r="G42" s="2">
        <v>1</v>
      </c>
      <c r="H42" s="2">
        <v>904</v>
      </c>
      <c r="I42" s="2">
        <v>25</v>
      </c>
      <c r="J42" t="str">
        <f>_xlfn.XLOOKUP(Table2[[#This Row],[Customer_ID]],Table1[Customer_ID],Table1[Customer_Name])</f>
        <v>Dona Kinkade</v>
      </c>
      <c r="K42" s="14" t="s">
        <v>87</v>
      </c>
      <c r="L42">
        <f>SUMIFS(Table2[Order_Price],Table3[Name],K42)</f>
        <v>3984</v>
      </c>
      <c r="M42">
        <v>3984</v>
      </c>
    </row>
    <row r="43" spans="1:13" x14ac:dyDescent="0.35">
      <c r="A43" s="4">
        <v>40435</v>
      </c>
      <c r="B43" s="2">
        <v>10280</v>
      </c>
      <c r="C43" s="2">
        <v>440</v>
      </c>
      <c r="D43" s="2">
        <v>33</v>
      </c>
      <c r="E43" s="2">
        <v>29</v>
      </c>
      <c r="F43" s="2">
        <v>1</v>
      </c>
      <c r="G43" s="2">
        <v>5</v>
      </c>
      <c r="H43" s="2">
        <v>38</v>
      </c>
      <c r="I43" s="2">
        <v>25</v>
      </c>
      <c r="J43" t="str">
        <f>_xlfn.XLOOKUP(Table2[[#This Row],[Customer_ID]],Table1[Customer_ID],Table1[Customer_Name])</f>
        <v>Douglas Swinson</v>
      </c>
      <c r="K43" s="15" t="s">
        <v>89</v>
      </c>
      <c r="L43">
        <f>SUMIFS(Table2[Order_Price],Table3[Name],K43)</f>
        <v>342</v>
      </c>
      <c r="M43">
        <v>342</v>
      </c>
    </row>
    <row r="44" spans="1:13" x14ac:dyDescent="0.35">
      <c r="A44" s="4">
        <v>40435</v>
      </c>
      <c r="B44" s="2">
        <v>10280</v>
      </c>
      <c r="C44" s="2">
        <v>99</v>
      </c>
      <c r="D44" s="2">
        <v>33</v>
      </c>
      <c r="E44" s="2">
        <v>29</v>
      </c>
      <c r="F44" s="2">
        <v>1</v>
      </c>
      <c r="G44" s="2">
        <v>1</v>
      </c>
      <c r="H44" s="2">
        <v>1611</v>
      </c>
      <c r="I44" s="2">
        <v>25</v>
      </c>
      <c r="J44" t="str">
        <f>_xlfn.XLOOKUP(Table2[[#This Row],[Customer_ID]],Table1[Customer_ID],Table1[Customer_Name])</f>
        <v>Douglas Swinson</v>
      </c>
      <c r="K44" s="14" t="s">
        <v>91</v>
      </c>
      <c r="L44">
        <f>SUMIFS(Table2[Order_Price],Table3[Name],K44)</f>
        <v>2184</v>
      </c>
      <c r="M44">
        <v>2184</v>
      </c>
    </row>
    <row r="45" spans="1:13" x14ac:dyDescent="0.35">
      <c r="A45" s="4">
        <v>40435</v>
      </c>
      <c r="B45" s="2">
        <v>10280</v>
      </c>
      <c r="C45" s="2">
        <v>98</v>
      </c>
      <c r="D45" s="2">
        <v>33</v>
      </c>
      <c r="E45" s="2">
        <v>29</v>
      </c>
      <c r="F45" s="2">
        <v>1</v>
      </c>
      <c r="G45" s="2">
        <v>1</v>
      </c>
      <c r="H45" s="2">
        <v>1859</v>
      </c>
      <c r="I45" s="2">
        <v>25</v>
      </c>
      <c r="J45" t="str">
        <f>_xlfn.XLOOKUP(Table2[[#This Row],[Customer_ID]],Table1[Customer_ID],Table1[Customer_Name])</f>
        <v>Douglas Swinson</v>
      </c>
      <c r="K45" s="15" t="s">
        <v>93</v>
      </c>
      <c r="L45">
        <f>SUMIFS(Table2[Order_Price],Table3[Name],K45)</f>
        <v>2186</v>
      </c>
      <c r="M45">
        <v>2186</v>
      </c>
    </row>
    <row r="46" spans="1:13" x14ac:dyDescent="0.35">
      <c r="A46" s="4">
        <v>40436</v>
      </c>
      <c r="B46" s="2">
        <v>10282</v>
      </c>
      <c r="C46" s="2">
        <v>452</v>
      </c>
      <c r="D46" s="2">
        <v>35</v>
      </c>
      <c r="E46" s="2">
        <v>4</v>
      </c>
      <c r="F46" s="2">
        <v>1</v>
      </c>
      <c r="G46" s="2">
        <v>1</v>
      </c>
      <c r="H46" s="2">
        <v>24</v>
      </c>
      <c r="I46" s="2">
        <v>25</v>
      </c>
      <c r="J46" t="str">
        <f>_xlfn.XLOOKUP(Table2[[#This Row],[Customer_ID]],Table1[Customer_ID],Table1[Customer_Name])</f>
        <v>Dung Do</v>
      </c>
      <c r="K46" s="14" t="s">
        <v>95</v>
      </c>
      <c r="L46">
        <f>SUMIFS(Table2[Order_Price],Table3[Name],K46)</f>
        <v>5516</v>
      </c>
      <c r="M46">
        <v>5516</v>
      </c>
    </row>
    <row r="47" spans="1:13" x14ac:dyDescent="0.35">
      <c r="A47" s="4">
        <v>40436</v>
      </c>
      <c r="B47" s="2">
        <v>10282</v>
      </c>
      <c r="C47" s="2">
        <v>420</v>
      </c>
      <c r="D47" s="2">
        <v>35</v>
      </c>
      <c r="E47" s="2">
        <v>4</v>
      </c>
      <c r="F47" s="2">
        <v>1</v>
      </c>
      <c r="G47" s="2">
        <v>1</v>
      </c>
      <c r="H47" s="2">
        <v>17</v>
      </c>
      <c r="I47" s="2">
        <v>25</v>
      </c>
      <c r="J47" t="str">
        <f>_xlfn.XLOOKUP(Table2[[#This Row],[Customer_ID]],Table1[Customer_ID],Table1[Customer_Name])</f>
        <v>Dung Do</v>
      </c>
      <c r="K47" s="15" t="s">
        <v>97</v>
      </c>
      <c r="L47">
        <f>SUMIFS(Table2[Order_Price],Table3[Name],K47)</f>
        <v>3507</v>
      </c>
      <c r="M47">
        <v>3507</v>
      </c>
    </row>
    <row r="48" spans="1:13" x14ac:dyDescent="0.35">
      <c r="A48" s="4">
        <v>40440</v>
      </c>
      <c r="B48" s="2">
        <v>10284</v>
      </c>
      <c r="C48" s="2">
        <v>58</v>
      </c>
      <c r="D48" s="2">
        <v>37</v>
      </c>
      <c r="E48" s="2">
        <v>85</v>
      </c>
      <c r="F48" s="2">
        <v>1</v>
      </c>
      <c r="G48" s="2">
        <v>2</v>
      </c>
      <c r="H48" s="2">
        <v>14</v>
      </c>
      <c r="I48" s="2">
        <v>25</v>
      </c>
      <c r="J48" t="str">
        <f>_xlfn.XLOOKUP(Table2[[#This Row],[Customer_ID]],Table1[Customer_ID],Table1[Customer_Name])</f>
        <v>Edda Mcquillen</v>
      </c>
      <c r="K48" s="14" t="s">
        <v>99</v>
      </c>
      <c r="L48">
        <f>SUMIFS(Table2[Order_Price],Table3[Name],K48)</f>
        <v>7602</v>
      </c>
      <c r="M48">
        <v>7602</v>
      </c>
    </row>
    <row r="49" spans="1:13" x14ac:dyDescent="0.35">
      <c r="A49" s="4">
        <v>40440</v>
      </c>
      <c r="B49" s="2">
        <v>10284</v>
      </c>
      <c r="C49" s="2">
        <v>59</v>
      </c>
      <c r="D49" s="2">
        <v>37</v>
      </c>
      <c r="E49" s="2">
        <v>84</v>
      </c>
      <c r="F49" s="2">
        <v>1</v>
      </c>
      <c r="G49" s="2">
        <v>3</v>
      </c>
      <c r="H49" s="2">
        <v>11</v>
      </c>
      <c r="I49" s="2">
        <v>25</v>
      </c>
      <c r="J49" t="str">
        <f>_xlfn.XLOOKUP(Table2[[#This Row],[Customer_ID]],Table1[Customer_ID],Table1[Customer_Name])</f>
        <v>Edda Mcquillen</v>
      </c>
      <c r="K49" s="15" t="s">
        <v>101</v>
      </c>
      <c r="L49">
        <f>SUMIFS(Table2[Order_Price],Table3[Name],K49)</f>
        <v>4644</v>
      </c>
      <c r="M49">
        <v>4644</v>
      </c>
    </row>
    <row r="50" spans="1:13" x14ac:dyDescent="0.35">
      <c r="A50" s="4">
        <v>40440</v>
      </c>
      <c r="B50" s="2">
        <v>10284</v>
      </c>
      <c r="C50" s="2">
        <v>251</v>
      </c>
      <c r="D50" s="2">
        <v>37</v>
      </c>
      <c r="E50" s="2">
        <v>85</v>
      </c>
      <c r="F50" s="2">
        <v>1</v>
      </c>
      <c r="G50" s="2">
        <v>5</v>
      </c>
      <c r="H50" s="2">
        <v>25</v>
      </c>
      <c r="I50" s="2">
        <v>25</v>
      </c>
      <c r="J50" t="str">
        <f>_xlfn.XLOOKUP(Table2[[#This Row],[Customer_ID]],Table1[Customer_ID],Table1[Customer_Name])</f>
        <v>Edda Mcquillen</v>
      </c>
      <c r="K50" s="14" t="s">
        <v>103</v>
      </c>
      <c r="L50">
        <f>SUMIFS(Table2[Order_Price],Table3[Name],K50)</f>
        <v>5799</v>
      </c>
      <c r="M50">
        <v>5799</v>
      </c>
    </row>
    <row r="51" spans="1:13" x14ac:dyDescent="0.35">
      <c r="A51" s="4">
        <v>40440</v>
      </c>
      <c r="B51" s="2">
        <v>10284</v>
      </c>
      <c r="C51" s="2">
        <v>236</v>
      </c>
      <c r="D51" s="2">
        <v>37</v>
      </c>
      <c r="E51" s="2">
        <v>84</v>
      </c>
      <c r="F51" s="2">
        <v>1</v>
      </c>
      <c r="G51" s="2">
        <v>2</v>
      </c>
      <c r="H51" s="2">
        <v>28</v>
      </c>
      <c r="I51" s="2">
        <v>25</v>
      </c>
      <c r="J51" t="str">
        <f>_xlfn.XLOOKUP(Table2[[#This Row],[Customer_ID]],Table1[Customer_ID],Table1[Customer_Name])</f>
        <v>Edda Mcquillen</v>
      </c>
      <c r="K51" s="15" t="s">
        <v>105</v>
      </c>
      <c r="L51">
        <f>SUMIFS(Table2[Order_Price],Table3[Name],K51)</f>
        <v>4014</v>
      </c>
      <c r="M51">
        <v>4014</v>
      </c>
    </row>
    <row r="52" spans="1:13" x14ac:dyDescent="0.35">
      <c r="A52" s="4">
        <v>40442</v>
      </c>
      <c r="B52" s="2">
        <v>10286</v>
      </c>
      <c r="C52" s="2">
        <v>333</v>
      </c>
      <c r="D52" s="2">
        <v>39</v>
      </c>
      <c r="E52" s="2">
        <v>57</v>
      </c>
      <c r="F52" s="2">
        <v>1</v>
      </c>
      <c r="G52" s="2">
        <v>1</v>
      </c>
      <c r="H52" s="2">
        <v>46</v>
      </c>
      <c r="I52" s="2">
        <v>25</v>
      </c>
      <c r="J52" t="str">
        <f>_xlfn.XLOOKUP(Table2[[#This Row],[Customer_ID]],Table1[Customer_ID],Table1[Customer_Name])</f>
        <v>Edythe Manney</v>
      </c>
      <c r="K52" s="14" t="s">
        <v>107</v>
      </c>
      <c r="L52">
        <f>SUMIFS(Table2[Order_Price],Table3[Name],K52)</f>
        <v>4131</v>
      </c>
      <c r="M52">
        <v>4131</v>
      </c>
    </row>
    <row r="53" spans="1:13" x14ac:dyDescent="0.35">
      <c r="A53" s="4">
        <v>40442</v>
      </c>
      <c r="B53" s="2">
        <v>10286</v>
      </c>
      <c r="C53" s="2">
        <v>368</v>
      </c>
      <c r="D53" s="2">
        <v>39</v>
      </c>
      <c r="E53" s="2">
        <v>57</v>
      </c>
      <c r="F53" s="2">
        <v>1</v>
      </c>
      <c r="G53" s="2">
        <v>8</v>
      </c>
      <c r="H53" s="2">
        <v>6</v>
      </c>
      <c r="I53" s="2">
        <v>25</v>
      </c>
      <c r="J53" t="str">
        <f>_xlfn.XLOOKUP(Table2[[#This Row],[Customer_ID]],Table1[Customer_ID],Table1[Customer_Name])</f>
        <v>Edythe Manney</v>
      </c>
      <c r="K53" s="15" t="s">
        <v>109</v>
      </c>
      <c r="L53">
        <f>SUMIFS(Table2[Order_Price],Table3[Name],K53)</f>
        <v>2233</v>
      </c>
      <c r="M53">
        <v>2233</v>
      </c>
    </row>
    <row r="54" spans="1:13" x14ac:dyDescent="0.35">
      <c r="A54" s="4">
        <v>40444</v>
      </c>
      <c r="B54" s="2">
        <v>10288</v>
      </c>
      <c r="C54" s="2">
        <v>54</v>
      </c>
      <c r="D54" s="2">
        <v>41</v>
      </c>
      <c r="E54" s="2">
        <v>50</v>
      </c>
      <c r="F54" s="2">
        <v>1</v>
      </c>
      <c r="G54" s="2">
        <v>1</v>
      </c>
      <c r="H54" s="2">
        <v>41</v>
      </c>
      <c r="I54" s="2">
        <v>25</v>
      </c>
      <c r="J54" t="str">
        <f>_xlfn.XLOOKUP(Table2[[#This Row],[Customer_ID]],Table1[Customer_ID],Table1[Customer_Name])</f>
        <v>Elicia Rea</v>
      </c>
      <c r="K54" s="14" t="s">
        <v>111</v>
      </c>
      <c r="L54">
        <f>SUMIFS(Table2[Order_Price],Table3[Name],K54)</f>
        <v>4983</v>
      </c>
      <c r="M54">
        <v>4983</v>
      </c>
    </row>
    <row r="55" spans="1:13" x14ac:dyDescent="0.35">
      <c r="A55" s="4">
        <v>40444</v>
      </c>
      <c r="B55" s="2">
        <v>10288</v>
      </c>
      <c r="C55" s="2">
        <v>55</v>
      </c>
      <c r="D55" s="2">
        <v>41</v>
      </c>
      <c r="E55" s="2">
        <v>50</v>
      </c>
      <c r="F55" s="2">
        <v>1</v>
      </c>
      <c r="G55" s="2">
        <v>1</v>
      </c>
      <c r="H55" s="2">
        <v>20</v>
      </c>
      <c r="I55" s="2">
        <v>25</v>
      </c>
      <c r="J55" t="str">
        <f>_xlfn.XLOOKUP(Table2[[#This Row],[Customer_ID]],Table1[Customer_ID],Table1[Customer_Name])</f>
        <v>Elicia Rea</v>
      </c>
      <c r="K55" s="15" t="s">
        <v>113</v>
      </c>
      <c r="L55">
        <f>SUMIFS(Table2[Order_Price],Table3[Name],K55)</f>
        <v>4937</v>
      </c>
      <c r="M55">
        <v>4937</v>
      </c>
    </row>
    <row r="56" spans="1:13" x14ac:dyDescent="0.35">
      <c r="A56" s="4">
        <v>40448</v>
      </c>
      <c r="B56" s="2">
        <v>10290</v>
      </c>
      <c r="C56" s="2">
        <v>437</v>
      </c>
      <c r="D56" s="2">
        <v>43</v>
      </c>
      <c r="E56" s="2">
        <v>17</v>
      </c>
      <c r="F56" s="2">
        <v>1</v>
      </c>
      <c r="G56" s="2">
        <v>3</v>
      </c>
      <c r="H56" s="2">
        <v>12</v>
      </c>
      <c r="I56" s="2">
        <v>25</v>
      </c>
      <c r="J56" t="str">
        <f>_xlfn.XLOOKUP(Table2[[#This Row],[Customer_ID]],Table1[Customer_ID],Table1[Customer_Name])</f>
        <v>Eric Eshelman</v>
      </c>
      <c r="K56" s="14" t="s">
        <v>115</v>
      </c>
      <c r="L56">
        <f>SUMIFS(Table2[Order_Price],Table3[Name],K56)</f>
        <v>5476</v>
      </c>
      <c r="M56">
        <v>5476</v>
      </c>
    </row>
    <row r="57" spans="1:13" x14ac:dyDescent="0.35">
      <c r="A57" s="4">
        <v>40448</v>
      </c>
      <c r="B57" s="2">
        <v>10290</v>
      </c>
      <c r="C57" s="2">
        <v>416</v>
      </c>
      <c r="D57" s="2">
        <v>43</v>
      </c>
      <c r="E57" s="2">
        <v>17</v>
      </c>
      <c r="F57" s="2">
        <v>1</v>
      </c>
      <c r="G57" s="2">
        <v>3</v>
      </c>
      <c r="H57" s="2">
        <v>14</v>
      </c>
      <c r="I57" s="2">
        <v>25</v>
      </c>
      <c r="J57" t="str">
        <f>_xlfn.XLOOKUP(Table2[[#This Row],[Customer_ID]],Table1[Customer_ID],Table1[Customer_Name])</f>
        <v>Eric Eshelman</v>
      </c>
      <c r="K57" s="15" t="s">
        <v>117</v>
      </c>
      <c r="L57">
        <f>SUMIFS(Table2[Order_Price],Table3[Name],K57)</f>
        <v>6122</v>
      </c>
      <c r="M57">
        <v>6122</v>
      </c>
    </row>
    <row r="58" spans="1:13" x14ac:dyDescent="0.35">
      <c r="A58" s="4">
        <v>40448</v>
      </c>
      <c r="B58" s="2">
        <v>10290</v>
      </c>
      <c r="C58" s="2">
        <v>411</v>
      </c>
      <c r="D58" s="2">
        <v>43</v>
      </c>
      <c r="E58" s="2">
        <v>17</v>
      </c>
      <c r="F58" s="2">
        <v>1</v>
      </c>
      <c r="G58" s="2">
        <v>15</v>
      </c>
      <c r="H58" s="2">
        <v>16</v>
      </c>
      <c r="I58" s="2">
        <v>25</v>
      </c>
      <c r="J58" t="str">
        <f>_xlfn.XLOOKUP(Table2[[#This Row],[Customer_ID]],Table1[Customer_ID],Table1[Customer_Name])</f>
        <v>Eric Eshelman</v>
      </c>
      <c r="K58" s="14" t="s">
        <v>119</v>
      </c>
      <c r="L58">
        <f>SUMIFS(Table2[Order_Price],Table3[Name],K58)</f>
        <v>4635</v>
      </c>
      <c r="M58">
        <v>4635</v>
      </c>
    </row>
    <row r="59" spans="1:13" x14ac:dyDescent="0.35">
      <c r="A59" s="4">
        <v>40448</v>
      </c>
      <c r="B59" s="2">
        <v>10290</v>
      </c>
      <c r="C59" s="2">
        <v>409</v>
      </c>
      <c r="D59" s="2">
        <v>43</v>
      </c>
      <c r="E59" s="2">
        <v>17</v>
      </c>
      <c r="F59" s="2">
        <v>1</v>
      </c>
      <c r="G59" s="2">
        <v>2</v>
      </c>
      <c r="H59" s="2">
        <v>10</v>
      </c>
      <c r="I59" s="2">
        <v>25</v>
      </c>
      <c r="J59" t="str">
        <f>_xlfn.XLOOKUP(Table2[[#This Row],[Customer_ID]],Table1[Customer_ID],Table1[Customer_Name])</f>
        <v>Eric Eshelman</v>
      </c>
      <c r="K59" s="15" t="s">
        <v>121</v>
      </c>
      <c r="L59">
        <f>SUMIFS(Table2[Order_Price],Table3[Name],K59)</f>
        <v>10635</v>
      </c>
      <c r="M59">
        <v>10635</v>
      </c>
    </row>
    <row r="60" spans="1:13" x14ac:dyDescent="0.35">
      <c r="A60" s="4">
        <v>40449</v>
      </c>
      <c r="B60" s="2">
        <v>10292</v>
      </c>
      <c r="C60" s="2">
        <v>371</v>
      </c>
      <c r="D60" s="2">
        <v>45</v>
      </c>
      <c r="E60" s="2">
        <v>44</v>
      </c>
      <c r="F60" s="2">
        <v>1</v>
      </c>
      <c r="G60" s="2">
        <v>2</v>
      </c>
      <c r="H60" s="2">
        <v>7</v>
      </c>
      <c r="I60" s="2">
        <v>25</v>
      </c>
      <c r="J60" t="str">
        <f>_xlfn.XLOOKUP(Table2[[#This Row],[Customer_ID]],Table1[Customer_ID],Table1[Customer_Name])</f>
        <v>Everette Ellery</v>
      </c>
      <c r="K60" s="14" t="s">
        <v>123</v>
      </c>
      <c r="L60">
        <f>SUMIFS(Table2[Order_Price],Table3[Name],K60)</f>
        <v>5812</v>
      </c>
      <c r="M60">
        <v>5812</v>
      </c>
    </row>
    <row r="61" spans="1:13" x14ac:dyDescent="0.35">
      <c r="A61" s="4">
        <v>40451</v>
      </c>
      <c r="B61" s="2">
        <v>10294</v>
      </c>
      <c r="C61" s="2">
        <v>402</v>
      </c>
      <c r="D61" s="2">
        <v>47</v>
      </c>
      <c r="E61" s="2">
        <v>3</v>
      </c>
      <c r="F61" s="2">
        <v>1</v>
      </c>
      <c r="G61" s="2">
        <v>7</v>
      </c>
      <c r="H61" s="2">
        <v>13</v>
      </c>
      <c r="I61" s="2">
        <v>25</v>
      </c>
      <c r="J61" t="str">
        <f>_xlfn.XLOOKUP(Table2[[#This Row],[Customer_ID]],Table1[Customer_ID],Table1[Customer_Name])</f>
        <v>Fe Finchum</v>
      </c>
      <c r="K61" s="15" t="s">
        <v>125</v>
      </c>
      <c r="L61">
        <f>SUMIFS(Table2[Order_Price],Table3[Name],K61)</f>
        <v>2255</v>
      </c>
      <c r="M61">
        <v>2255</v>
      </c>
    </row>
    <row r="62" spans="1:13" x14ac:dyDescent="0.35">
      <c r="A62" s="4">
        <v>40451</v>
      </c>
      <c r="B62" s="2">
        <v>10294</v>
      </c>
      <c r="C62" s="2">
        <v>398</v>
      </c>
      <c r="D62" s="2">
        <v>47</v>
      </c>
      <c r="E62" s="2">
        <v>3</v>
      </c>
      <c r="F62" s="2">
        <v>1</v>
      </c>
      <c r="G62" s="2">
        <v>9</v>
      </c>
      <c r="H62" s="2">
        <v>12</v>
      </c>
      <c r="I62" s="2">
        <v>25</v>
      </c>
      <c r="J62" t="str">
        <f>_xlfn.XLOOKUP(Table2[[#This Row],[Customer_ID]],Table1[Customer_ID],Table1[Customer_Name])</f>
        <v>Fe Finchum</v>
      </c>
      <c r="K62" s="14" t="s">
        <v>127</v>
      </c>
      <c r="L62">
        <f>SUMIFS(Table2[Order_Price],Table3[Name],K62)</f>
        <v>1339</v>
      </c>
      <c r="M62">
        <v>1339</v>
      </c>
    </row>
    <row r="63" spans="1:13" x14ac:dyDescent="0.35">
      <c r="A63" s="4">
        <v>40451</v>
      </c>
      <c r="B63" s="2">
        <v>10294</v>
      </c>
      <c r="C63" s="2">
        <v>205</v>
      </c>
      <c r="D63" s="2">
        <v>47</v>
      </c>
      <c r="E63" s="2">
        <v>3</v>
      </c>
      <c r="F63" s="2">
        <v>1</v>
      </c>
      <c r="G63" s="2">
        <v>1</v>
      </c>
      <c r="H63" s="2">
        <v>9</v>
      </c>
      <c r="I63" s="2">
        <v>25</v>
      </c>
      <c r="J63" t="str">
        <f>_xlfn.XLOOKUP(Table2[[#This Row],[Customer_ID]],Table1[Customer_ID],Table1[Customer_Name])</f>
        <v>Fe Finchum</v>
      </c>
      <c r="K63" s="15" t="s">
        <v>129</v>
      </c>
      <c r="L63">
        <f>SUMIFS(Table2[Order_Price],Table3[Name],K63)</f>
        <v>3615</v>
      </c>
      <c r="M63">
        <v>3615</v>
      </c>
    </row>
    <row r="64" spans="1:13" x14ac:dyDescent="0.35">
      <c r="A64" s="4">
        <v>40451</v>
      </c>
      <c r="B64" s="2">
        <v>10294</v>
      </c>
      <c r="C64" s="2">
        <v>204</v>
      </c>
      <c r="D64" s="2">
        <v>47</v>
      </c>
      <c r="E64" s="2">
        <v>3</v>
      </c>
      <c r="F64" s="2">
        <v>1</v>
      </c>
      <c r="G64" s="2">
        <v>1</v>
      </c>
      <c r="H64" s="2">
        <v>9</v>
      </c>
      <c r="I64" s="2">
        <v>25</v>
      </c>
      <c r="J64" t="str">
        <f>_xlfn.XLOOKUP(Table2[[#This Row],[Customer_ID]],Table1[Customer_ID],Table1[Customer_Name])</f>
        <v>Fe Finchum</v>
      </c>
      <c r="K64" s="14" t="s">
        <v>131</v>
      </c>
      <c r="L64">
        <f>SUMIFS(Table2[Order_Price],Table3[Name],K64)</f>
        <v>3274</v>
      </c>
      <c r="M64">
        <v>3274</v>
      </c>
    </row>
    <row r="65" spans="1:13" x14ac:dyDescent="0.35">
      <c r="A65" s="4">
        <v>40451</v>
      </c>
      <c r="B65" s="2">
        <v>10294</v>
      </c>
      <c r="C65" s="2">
        <v>438</v>
      </c>
      <c r="D65" s="2">
        <v>47</v>
      </c>
      <c r="E65" s="2">
        <v>3</v>
      </c>
      <c r="F65" s="2">
        <v>1</v>
      </c>
      <c r="G65" s="2">
        <v>7</v>
      </c>
      <c r="H65" s="2">
        <v>8</v>
      </c>
      <c r="I65" s="2">
        <v>25</v>
      </c>
      <c r="J65" t="str">
        <f>_xlfn.XLOOKUP(Table2[[#This Row],[Customer_ID]],Table1[Customer_ID],Table1[Customer_Name])</f>
        <v>Fe Finchum</v>
      </c>
      <c r="K65" s="15" t="s">
        <v>133</v>
      </c>
      <c r="L65">
        <f>SUMIFS(Table2[Order_Price],Table3[Name],K65)</f>
        <v>2361</v>
      </c>
      <c r="M65">
        <v>2361</v>
      </c>
    </row>
    <row r="66" spans="1:13" x14ac:dyDescent="0.35">
      <c r="A66" s="4">
        <v>40455</v>
      </c>
      <c r="B66" s="2">
        <v>10296</v>
      </c>
      <c r="C66" s="2">
        <v>339</v>
      </c>
      <c r="D66" s="2">
        <v>49</v>
      </c>
      <c r="E66" s="2">
        <v>52</v>
      </c>
      <c r="F66" s="2">
        <v>1</v>
      </c>
      <c r="G66" s="2">
        <v>4</v>
      </c>
      <c r="H66" s="2">
        <v>2</v>
      </c>
      <c r="I66" s="2">
        <v>25</v>
      </c>
      <c r="J66" t="str">
        <f>_xlfn.XLOOKUP(Table2[[#This Row],[Customer_ID]],Table1[Customer_ID],Table1[Customer_Name])</f>
        <v>Geraldo Stickney</v>
      </c>
      <c r="K66" s="14" t="s">
        <v>135</v>
      </c>
      <c r="L66">
        <f>SUMIFS(Table2[Order_Price],Table3[Name],K66)</f>
        <v>534</v>
      </c>
      <c r="M66">
        <v>534</v>
      </c>
    </row>
    <row r="67" spans="1:13" x14ac:dyDescent="0.35">
      <c r="A67" s="4">
        <v>40455</v>
      </c>
      <c r="B67" s="2">
        <v>10296</v>
      </c>
      <c r="C67" s="2">
        <v>336</v>
      </c>
      <c r="D67" s="2">
        <v>49</v>
      </c>
      <c r="E67" s="2">
        <v>52</v>
      </c>
      <c r="F67" s="2">
        <v>1</v>
      </c>
      <c r="G67" s="2">
        <v>2</v>
      </c>
      <c r="H67" s="2">
        <v>5</v>
      </c>
      <c r="I67" s="2">
        <v>25</v>
      </c>
      <c r="J67" t="str">
        <f>_xlfn.XLOOKUP(Table2[[#This Row],[Customer_ID]],Table1[Customer_ID],Table1[Customer_Name])</f>
        <v>Geraldo Stickney</v>
      </c>
      <c r="K67" s="15" t="s">
        <v>137</v>
      </c>
      <c r="L67">
        <f>SUMIFS(Table2[Order_Price],Table3[Name],K67)</f>
        <v>682</v>
      </c>
      <c r="M67">
        <v>682</v>
      </c>
    </row>
    <row r="68" spans="1:13" x14ac:dyDescent="0.35">
      <c r="A68" s="4">
        <v>40455</v>
      </c>
      <c r="B68" s="2">
        <v>10296</v>
      </c>
      <c r="C68" s="2">
        <v>329</v>
      </c>
      <c r="D68" s="2">
        <v>49</v>
      </c>
      <c r="E68" s="2">
        <v>52</v>
      </c>
      <c r="F68" s="2">
        <v>1</v>
      </c>
      <c r="G68" s="2">
        <v>6</v>
      </c>
      <c r="H68" s="2">
        <v>21</v>
      </c>
      <c r="I68" s="2">
        <v>25</v>
      </c>
      <c r="J68" t="str">
        <f>_xlfn.XLOOKUP(Table2[[#This Row],[Customer_ID]],Table1[Customer_ID],Table1[Customer_Name])</f>
        <v>Geraldo Stickney</v>
      </c>
      <c r="K68" s="14" t="s">
        <v>139</v>
      </c>
      <c r="L68">
        <f>SUMIFS(Table2[Order_Price],Table3[Name],K68)</f>
        <v>5839</v>
      </c>
      <c r="M68">
        <v>5839</v>
      </c>
    </row>
    <row r="69" spans="1:13" x14ac:dyDescent="0.35">
      <c r="A69" s="4">
        <v>40457</v>
      </c>
      <c r="B69" s="2">
        <v>10298</v>
      </c>
      <c r="C69" s="2">
        <v>231</v>
      </c>
      <c r="D69" s="2">
        <v>51</v>
      </c>
      <c r="E69" s="2">
        <v>23</v>
      </c>
      <c r="F69" s="2">
        <v>1</v>
      </c>
      <c r="G69" s="2">
        <v>4</v>
      </c>
      <c r="H69" s="2">
        <v>5</v>
      </c>
      <c r="I69" s="2">
        <v>25</v>
      </c>
      <c r="J69" t="str">
        <f>_xlfn.XLOOKUP(Table2[[#This Row],[Customer_ID]],Table1[Customer_ID],Table1[Customer_Name])</f>
        <v>Gladis Hasan</v>
      </c>
      <c r="K69" s="15" t="s">
        <v>141</v>
      </c>
      <c r="L69">
        <f>SUMIFS(Table2[Order_Price],Table3[Name],K69)</f>
        <v>1702</v>
      </c>
      <c r="M69">
        <v>1702</v>
      </c>
    </row>
    <row r="70" spans="1:13" x14ac:dyDescent="0.35">
      <c r="A70" s="4">
        <v>40457</v>
      </c>
      <c r="B70" s="2">
        <v>10298</v>
      </c>
      <c r="C70" s="2">
        <v>348</v>
      </c>
      <c r="D70" s="2">
        <v>51</v>
      </c>
      <c r="E70" s="2">
        <v>23</v>
      </c>
      <c r="F70" s="2">
        <v>1</v>
      </c>
      <c r="G70" s="2">
        <v>3</v>
      </c>
      <c r="H70" s="2">
        <v>2</v>
      </c>
      <c r="I70" s="2">
        <v>25</v>
      </c>
      <c r="J70" t="str">
        <f>_xlfn.XLOOKUP(Table2[[#This Row],[Customer_ID]],Table1[Customer_ID],Table1[Customer_Name])</f>
        <v>Gladis Hasan</v>
      </c>
      <c r="K70" s="14" t="s">
        <v>143</v>
      </c>
      <c r="L70">
        <f>SUMIFS(Table2[Order_Price],Table3[Name],K70)</f>
        <v>2513</v>
      </c>
      <c r="M70">
        <v>2513</v>
      </c>
    </row>
    <row r="71" spans="1:13" x14ac:dyDescent="0.35">
      <c r="A71" s="4">
        <v>40457</v>
      </c>
      <c r="B71" s="2">
        <v>10298</v>
      </c>
      <c r="C71" s="2">
        <v>280</v>
      </c>
      <c r="D71" s="2">
        <v>51</v>
      </c>
      <c r="E71" s="2">
        <v>23</v>
      </c>
      <c r="F71" s="2">
        <v>1</v>
      </c>
      <c r="G71" s="2">
        <v>1</v>
      </c>
      <c r="H71" s="2">
        <v>2</v>
      </c>
      <c r="I71" s="2">
        <v>25</v>
      </c>
      <c r="J71" t="str">
        <f>_xlfn.XLOOKUP(Table2[[#This Row],[Customer_ID]],Table1[Customer_ID],Table1[Customer_Name])</f>
        <v>Gladis Hasan</v>
      </c>
      <c r="K71" s="15" t="s">
        <v>145</v>
      </c>
      <c r="L71">
        <f>SUMIFS(Table2[Order_Price],Table3[Name],K71)</f>
        <v>1729</v>
      </c>
      <c r="M71">
        <v>1729</v>
      </c>
    </row>
    <row r="72" spans="1:13" x14ac:dyDescent="0.35">
      <c r="A72" s="4">
        <v>40457</v>
      </c>
      <c r="B72" s="2">
        <v>10298</v>
      </c>
      <c r="C72" s="2">
        <v>261</v>
      </c>
      <c r="D72" s="2">
        <v>51</v>
      </c>
      <c r="E72" s="2">
        <v>23</v>
      </c>
      <c r="F72" s="2">
        <v>1</v>
      </c>
      <c r="G72" s="2">
        <v>1</v>
      </c>
      <c r="H72" s="2">
        <v>5</v>
      </c>
      <c r="I72" s="2">
        <v>25</v>
      </c>
      <c r="J72" t="str">
        <f>_xlfn.XLOOKUP(Table2[[#This Row],[Customer_ID]],Table1[Customer_ID],Table1[Customer_Name])</f>
        <v>Gladis Hasan</v>
      </c>
      <c r="K72" s="14" t="s">
        <v>147</v>
      </c>
      <c r="L72">
        <f>SUMIFS(Table2[Order_Price],Table3[Name],K72)</f>
        <v>4646</v>
      </c>
      <c r="M72">
        <v>4646</v>
      </c>
    </row>
    <row r="73" spans="1:13" x14ac:dyDescent="0.35">
      <c r="A73" s="4">
        <v>40461</v>
      </c>
      <c r="B73" s="2">
        <v>10300</v>
      </c>
      <c r="C73" s="2">
        <v>225</v>
      </c>
      <c r="D73" s="2">
        <v>53</v>
      </c>
      <c r="E73" s="2">
        <v>42</v>
      </c>
      <c r="F73" s="2">
        <v>1</v>
      </c>
      <c r="G73" s="2">
        <v>1</v>
      </c>
      <c r="H73" s="2">
        <v>3</v>
      </c>
      <c r="I73" s="2">
        <v>25</v>
      </c>
      <c r="J73" t="str">
        <f>_xlfn.XLOOKUP(Table2[[#This Row],[Customer_ID]],Table1[Customer_ID],Table1[Customer_Name])</f>
        <v>Gracia Jelks</v>
      </c>
      <c r="K73" s="15" t="s">
        <v>149</v>
      </c>
      <c r="L73">
        <f>SUMIFS(Table2[Order_Price],Table3[Name],K73)</f>
        <v>9838</v>
      </c>
      <c r="M73">
        <v>9838</v>
      </c>
    </row>
    <row r="74" spans="1:13" x14ac:dyDescent="0.35">
      <c r="A74" s="4">
        <v>40461</v>
      </c>
      <c r="B74" s="2">
        <v>10300</v>
      </c>
      <c r="C74" s="2">
        <v>324</v>
      </c>
      <c r="D74" s="2">
        <v>53</v>
      </c>
      <c r="E74" s="2">
        <v>42</v>
      </c>
      <c r="F74" s="2">
        <v>1</v>
      </c>
      <c r="G74" s="2">
        <v>6</v>
      </c>
      <c r="H74" s="2">
        <v>8</v>
      </c>
      <c r="I74" s="2">
        <v>25</v>
      </c>
      <c r="J74" t="str">
        <f>_xlfn.XLOOKUP(Table2[[#This Row],[Customer_ID]],Table1[Customer_ID],Table1[Customer_Name])</f>
        <v>Gracia Jelks</v>
      </c>
      <c r="K74" s="14" t="s">
        <v>151</v>
      </c>
      <c r="L74">
        <f>SUMIFS(Table2[Order_Price],Table3[Name],K74)</f>
        <v>5326</v>
      </c>
      <c r="M74">
        <v>5326</v>
      </c>
    </row>
    <row r="75" spans="1:13" x14ac:dyDescent="0.35">
      <c r="A75" s="4">
        <v>40462</v>
      </c>
      <c r="B75" s="2">
        <v>10302</v>
      </c>
      <c r="C75" s="2">
        <v>362</v>
      </c>
      <c r="D75" s="2">
        <v>55</v>
      </c>
      <c r="E75" s="2">
        <v>53</v>
      </c>
      <c r="F75" s="2">
        <v>1</v>
      </c>
      <c r="G75" s="2">
        <v>1</v>
      </c>
      <c r="H75" s="2">
        <v>4</v>
      </c>
      <c r="I75" s="2">
        <v>25</v>
      </c>
      <c r="J75" t="str">
        <f>_xlfn.XLOOKUP(Table2[[#This Row],[Customer_ID]],Table1[Customer_ID],Table1[Customer_Name])</f>
        <v>Harrison Hugh</v>
      </c>
      <c r="K75" s="15" t="s">
        <v>153</v>
      </c>
      <c r="L75">
        <f>SUMIFS(Table2[Order_Price],Table3[Name],K75)</f>
        <v>8865</v>
      </c>
      <c r="M75">
        <v>8865</v>
      </c>
    </row>
    <row r="76" spans="1:13" x14ac:dyDescent="0.35">
      <c r="A76" s="4">
        <v>40462</v>
      </c>
      <c r="B76" s="2">
        <v>10302</v>
      </c>
      <c r="C76" s="2">
        <v>211</v>
      </c>
      <c r="D76" s="2">
        <v>55</v>
      </c>
      <c r="E76" s="2">
        <v>53</v>
      </c>
      <c r="F76" s="2">
        <v>1</v>
      </c>
      <c r="G76" s="2">
        <v>1</v>
      </c>
      <c r="H76" s="2">
        <v>4</v>
      </c>
      <c r="I76" s="2">
        <v>25</v>
      </c>
      <c r="J76" t="str">
        <f>_xlfn.XLOOKUP(Table2[[#This Row],[Customer_ID]],Table1[Customer_ID],Table1[Customer_Name])</f>
        <v>Harrison Hugh</v>
      </c>
      <c r="K76" s="14" t="s">
        <v>155</v>
      </c>
      <c r="L76">
        <f>SUMIFS(Table2[Order_Price],Table3[Name],K76)</f>
        <v>3368</v>
      </c>
      <c r="M76">
        <v>3368</v>
      </c>
    </row>
    <row r="77" spans="1:13" x14ac:dyDescent="0.35">
      <c r="A77" s="4">
        <v>40462</v>
      </c>
      <c r="B77" s="2">
        <v>10302</v>
      </c>
      <c r="C77" s="2">
        <v>367</v>
      </c>
      <c r="D77" s="2">
        <v>55</v>
      </c>
      <c r="E77" s="2">
        <v>53</v>
      </c>
      <c r="F77" s="2">
        <v>1</v>
      </c>
      <c r="G77" s="2">
        <v>3</v>
      </c>
      <c r="H77" s="2">
        <v>10</v>
      </c>
      <c r="I77" s="2">
        <v>25</v>
      </c>
      <c r="J77" t="str">
        <f>_xlfn.XLOOKUP(Table2[[#This Row],[Customer_ID]],Table1[Customer_ID],Table1[Customer_Name])</f>
        <v>Harrison Hugh</v>
      </c>
      <c r="K77" s="15" t="s">
        <v>157</v>
      </c>
      <c r="L77">
        <f>SUMIFS(Table2[Order_Price],Table3[Name],K77)</f>
        <v>6974</v>
      </c>
      <c r="M77">
        <v>6974</v>
      </c>
    </row>
    <row r="78" spans="1:13" x14ac:dyDescent="0.35">
      <c r="A78" s="4">
        <v>40464</v>
      </c>
      <c r="B78" s="2">
        <v>10304</v>
      </c>
      <c r="C78" s="2">
        <v>288</v>
      </c>
      <c r="D78" s="2">
        <v>57</v>
      </c>
      <c r="E78" s="2">
        <v>27</v>
      </c>
      <c r="F78" s="2">
        <v>1</v>
      </c>
      <c r="G78" s="2">
        <v>6</v>
      </c>
      <c r="H78" s="2">
        <v>3</v>
      </c>
      <c r="I78" s="2">
        <v>25</v>
      </c>
      <c r="J78" t="str">
        <f>_xlfn.XLOOKUP(Table2[[#This Row],[Customer_ID]],Table1[Customer_ID],Table1[Customer_Name])</f>
        <v>Ina Iversen</v>
      </c>
      <c r="K78" s="14" t="s">
        <v>159</v>
      </c>
      <c r="L78">
        <f>SUMIFS(Table2[Order_Price],Table3[Name],K78)</f>
        <v>6614</v>
      </c>
      <c r="M78">
        <v>6614</v>
      </c>
    </row>
    <row r="79" spans="1:13" x14ac:dyDescent="0.35">
      <c r="A79" s="4">
        <v>40464</v>
      </c>
      <c r="B79" s="2">
        <v>10304</v>
      </c>
      <c r="C79" s="2">
        <v>286</v>
      </c>
      <c r="D79" s="2">
        <v>57</v>
      </c>
      <c r="E79" s="2">
        <v>27</v>
      </c>
      <c r="F79" s="2">
        <v>1</v>
      </c>
      <c r="G79" s="2">
        <v>3</v>
      </c>
      <c r="H79" s="2">
        <v>4</v>
      </c>
      <c r="I79" s="2">
        <v>25</v>
      </c>
      <c r="J79" t="str">
        <f>_xlfn.XLOOKUP(Table2[[#This Row],[Customer_ID]],Table1[Customer_ID],Table1[Customer_Name])</f>
        <v>Ina Iversen</v>
      </c>
      <c r="K79" s="15" t="s">
        <v>161</v>
      </c>
      <c r="L79">
        <f>SUMIFS(Table2[Order_Price],Table3[Name],K79)</f>
        <v>9930</v>
      </c>
      <c r="M79">
        <v>9930</v>
      </c>
    </row>
    <row r="80" spans="1:13" x14ac:dyDescent="0.35">
      <c r="A80" s="4">
        <v>40464</v>
      </c>
      <c r="B80" s="2">
        <v>10304</v>
      </c>
      <c r="C80" s="2">
        <v>343</v>
      </c>
      <c r="D80" s="2">
        <v>57</v>
      </c>
      <c r="E80" s="2">
        <v>27</v>
      </c>
      <c r="F80" s="2">
        <v>1</v>
      </c>
      <c r="G80" s="2">
        <v>3</v>
      </c>
      <c r="H80" s="2">
        <v>4</v>
      </c>
      <c r="I80" s="2">
        <v>25</v>
      </c>
      <c r="J80" t="str">
        <f>_xlfn.XLOOKUP(Table2[[#This Row],[Customer_ID]],Table1[Customer_ID],Table1[Customer_Name])</f>
        <v>Ina Iversen</v>
      </c>
      <c r="K80" s="14" t="s">
        <v>163</v>
      </c>
      <c r="L80">
        <f>SUMIFS(Table2[Order_Price],Table3[Name],K80)</f>
        <v>3017</v>
      </c>
      <c r="M80">
        <v>3017</v>
      </c>
    </row>
    <row r="81" spans="1:13" x14ac:dyDescent="0.35">
      <c r="A81" s="4">
        <v>40468</v>
      </c>
      <c r="B81" s="2">
        <v>10306</v>
      </c>
      <c r="C81" s="2">
        <v>111</v>
      </c>
      <c r="D81" s="2">
        <v>59</v>
      </c>
      <c r="E81" s="2">
        <v>76</v>
      </c>
      <c r="F81" s="2">
        <v>1</v>
      </c>
      <c r="G81" s="2">
        <v>2</v>
      </c>
      <c r="H81" s="2">
        <v>547</v>
      </c>
      <c r="I81" s="2">
        <v>25</v>
      </c>
      <c r="J81" t="str">
        <f>_xlfn.XLOOKUP(Table2[[#This Row],[Customer_ID]],Table1[Customer_ID],Table1[Customer_Name])</f>
        <v>Janella Vallo</v>
      </c>
      <c r="K81" s="15" t="s">
        <v>165</v>
      </c>
      <c r="L81">
        <f>SUMIFS(Table2[Order_Price],Table3[Name],K81)</f>
        <v>3830</v>
      </c>
      <c r="M81">
        <v>3830</v>
      </c>
    </row>
    <row r="82" spans="1:13" x14ac:dyDescent="0.35">
      <c r="A82" s="4">
        <v>40468</v>
      </c>
      <c r="B82" s="2">
        <v>10306</v>
      </c>
      <c r="C82" s="2">
        <v>106</v>
      </c>
      <c r="D82" s="2">
        <v>59</v>
      </c>
      <c r="E82" s="2">
        <v>76</v>
      </c>
      <c r="F82" s="2">
        <v>1</v>
      </c>
      <c r="G82" s="2">
        <v>7</v>
      </c>
      <c r="H82" s="2">
        <v>467</v>
      </c>
      <c r="I82" s="2">
        <v>25</v>
      </c>
      <c r="J82" t="str">
        <f>_xlfn.XLOOKUP(Table2[[#This Row],[Customer_ID]],Table1[Customer_ID],Table1[Customer_Name])</f>
        <v>Janella Vallo</v>
      </c>
      <c r="K82" s="14" t="s">
        <v>167</v>
      </c>
      <c r="L82">
        <f>SUMIFS(Table2[Order_Price],Table3[Name],K82)</f>
        <v>2571</v>
      </c>
      <c r="M82">
        <v>2571</v>
      </c>
    </row>
    <row r="83" spans="1:13" x14ac:dyDescent="0.35">
      <c r="A83" s="4">
        <v>40468</v>
      </c>
      <c r="B83" s="2">
        <v>10306</v>
      </c>
      <c r="C83" s="2">
        <v>108</v>
      </c>
      <c r="D83" s="2">
        <v>59</v>
      </c>
      <c r="E83" s="2">
        <v>76</v>
      </c>
      <c r="F83" s="2">
        <v>1</v>
      </c>
      <c r="G83" s="2">
        <v>7</v>
      </c>
      <c r="H83" s="2">
        <v>483</v>
      </c>
      <c r="I83" s="2">
        <v>25</v>
      </c>
      <c r="J83" t="str">
        <f>_xlfn.XLOOKUP(Table2[[#This Row],[Customer_ID]],Table1[Customer_ID],Table1[Customer_Name])</f>
        <v>Janella Vallo</v>
      </c>
      <c r="K83" s="15" t="s">
        <v>169</v>
      </c>
      <c r="L83">
        <f>SUMIFS(Table2[Order_Price],Table3[Name],K83)</f>
        <v>2528</v>
      </c>
      <c r="M83">
        <v>2528</v>
      </c>
    </row>
    <row r="84" spans="1:13" x14ac:dyDescent="0.35">
      <c r="A84" s="4">
        <v>40470</v>
      </c>
      <c r="B84" s="2">
        <v>10308</v>
      </c>
      <c r="C84" s="2">
        <v>103</v>
      </c>
      <c r="D84" s="2">
        <v>61</v>
      </c>
      <c r="E84" s="2">
        <v>23</v>
      </c>
      <c r="F84" s="2">
        <v>1</v>
      </c>
      <c r="G84" s="2">
        <v>6</v>
      </c>
      <c r="H84" s="2">
        <v>560</v>
      </c>
      <c r="I84" s="2">
        <v>25</v>
      </c>
      <c r="J84" t="str">
        <f>_xlfn.XLOOKUP(Table2[[#This Row],[Customer_ID]],Table1[Customer_ID],Table1[Customer_Name])</f>
        <v>Jeanelle Joynes</v>
      </c>
      <c r="K84" s="14" t="s">
        <v>171</v>
      </c>
      <c r="L84">
        <f>SUMIFS(Table2[Order_Price],Table3[Name],K84)</f>
        <v>9612</v>
      </c>
      <c r="M84">
        <v>9612</v>
      </c>
    </row>
    <row r="85" spans="1:13" x14ac:dyDescent="0.35">
      <c r="A85" s="4">
        <v>40470</v>
      </c>
      <c r="B85" s="2">
        <v>10308</v>
      </c>
      <c r="C85" s="2">
        <v>107</v>
      </c>
      <c r="D85" s="2">
        <v>61</v>
      </c>
      <c r="E85" s="2">
        <v>23</v>
      </c>
      <c r="F85" s="2">
        <v>1</v>
      </c>
      <c r="G85" s="2">
        <v>3</v>
      </c>
      <c r="H85" s="2">
        <v>628</v>
      </c>
      <c r="I85" s="2">
        <v>25</v>
      </c>
      <c r="J85" t="str">
        <f>_xlfn.XLOOKUP(Table2[[#This Row],[Customer_ID]],Table1[Customer_ID],Table1[Customer_Name])</f>
        <v>Jeanelle Joynes</v>
      </c>
      <c r="K85" s="15" t="s">
        <v>173</v>
      </c>
      <c r="L85">
        <f>SUMIFS(Table2[Order_Price],Table3[Name],K85)</f>
        <v>7168</v>
      </c>
      <c r="M85">
        <v>7168</v>
      </c>
    </row>
    <row r="86" spans="1:13" x14ac:dyDescent="0.35">
      <c r="A86" s="4">
        <v>40472</v>
      </c>
      <c r="B86" s="2">
        <v>10310</v>
      </c>
      <c r="C86" s="2">
        <v>20</v>
      </c>
      <c r="D86" s="2">
        <v>63</v>
      </c>
      <c r="E86" s="2">
        <v>33</v>
      </c>
      <c r="F86" s="2">
        <v>1</v>
      </c>
      <c r="G86" s="2">
        <v>2</v>
      </c>
      <c r="H86" s="2">
        <v>659</v>
      </c>
      <c r="I86" s="2">
        <v>25</v>
      </c>
      <c r="J86" t="str">
        <f>_xlfn.XLOOKUP(Table2[[#This Row],[Customer_ID]],Table1[Customer_ID],Table1[Customer_Name])</f>
        <v>Johnathon Tucker</v>
      </c>
      <c r="K86" s="14" t="s">
        <v>175</v>
      </c>
      <c r="L86">
        <f>SUMIFS(Table2[Order_Price],Table3[Name],K86)</f>
        <v>3096</v>
      </c>
      <c r="M86">
        <v>3096</v>
      </c>
    </row>
    <row r="87" spans="1:13" x14ac:dyDescent="0.35">
      <c r="A87" s="4">
        <v>40472</v>
      </c>
      <c r="B87" s="2">
        <v>10310</v>
      </c>
      <c r="C87" s="2">
        <v>25</v>
      </c>
      <c r="D87" s="2">
        <v>63</v>
      </c>
      <c r="E87" s="2">
        <v>33</v>
      </c>
      <c r="F87" s="2">
        <v>1</v>
      </c>
      <c r="G87" s="2">
        <v>2</v>
      </c>
      <c r="H87" s="2">
        <v>364</v>
      </c>
      <c r="I87" s="2">
        <v>25</v>
      </c>
      <c r="J87" t="str">
        <f>_xlfn.XLOOKUP(Table2[[#This Row],[Customer_ID]],Table1[Customer_ID],Table1[Customer_Name])</f>
        <v>Johnathon Tucker</v>
      </c>
      <c r="K87" s="15" t="s">
        <v>177</v>
      </c>
      <c r="L87">
        <f>SUMIFS(Table2[Order_Price],Table3[Name],K87)</f>
        <v>3452</v>
      </c>
      <c r="M87">
        <v>3452</v>
      </c>
    </row>
    <row r="88" spans="1:13" x14ac:dyDescent="0.35">
      <c r="A88" s="4">
        <v>40475</v>
      </c>
      <c r="B88" s="2">
        <v>10312</v>
      </c>
      <c r="C88" s="2">
        <v>229</v>
      </c>
      <c r="D88" s="2">
        <v>65</v>
      </c>
      <c r="E88" s="2">
        <v>31</v>
      </c>
      <c r="F88" s="2">
        <v>1</v>
      </c>
      <c r="G88" s="2">
        <v>15</v>
      </c>
      <c r="H88" s="2">
        <v>4</v>
      </c>
      <c r="I88" s="2">
        <v>25</v>
      </c>
      <c r="J88" t="str">
        <f>_xlfn.XLOOKUP(Table2[[#This Row],[Customer_ID]],Table1[Customer_ID],Table1[Customer_Name])</f>
        <v>Judie Sawicki</v>
      </c>
      <c r="K88" s="14" t="s">
        <v>179</v>
      </c>
      <c r="L88">
        <f>SUMIFS(Table2[Order_Price],Table3[Name],K88)</f>
        <v>3948</v>
      </c>
      <c r="M88">
        <v>3948</v>
      </c>
    </row>
    <row r="89" spans="1:13" x14ac:dyDescent="0.35">
      <c r="A89" s="4">
        <v>40475</v>
      </c>
      <c r="B89" s="2">
        <v>10312</v>
      </c>
      <c r="C89" s="2">
        <v>50</v>
      </c>
      <c r="D89" s="2">
        <v>65</v>
      </c>
      <c r="E89" s="2">
        <v>31</v>
      </c>
      <c r="F89" s="2">
        <v>1</v>
      </c>
      <c r="G89" s="2">
        <v>3</v>
      </c>
      <c r="H89" s="2">
        <v>65</v>
      </c>
      <c r="I89" s="2">
        <v>25</v>
      </c>
      <c r="J89" t="str">
        <f>_xlfn.XLOOKUP(Table2[[#This Row],[Customer_ID]],Table1[Customer_ID],Table1[Customer_Name])</f>
        <v>Judie Sawicki</v>
      </c>
      <c r="K89" s="15" t="s">
        <v>181</v>
      </c>
      <c r="L89">
        <f>SUMIFS(Table2[Order_Price],Table3[Name],K89)</f>
        <v>1815</v>
      </c>
      <c r="M89">
        <v>1815</v>
      </c>
    </row>
    <row r="90" spans="1:13" x14ac:dyDescent="0.35">
      <c r="A90" s="4">
        <v>40475</v>
      </c>
      <c r="B90" s="2">
        <v>10312</v>
      </c>
      <c r="C90" s="2">
        <v>63</v>
      </c>
      <c r="D90" s="2">
        <v>65</v>
      </c>
      <c r="E90" s="2">
        <v>31</v>
      </c>
      <c r="F90" s="2">
        <v>1</v>
      </c>
      <c r="G90" s="2">
        <v>3</v>
      </c>
      <c r="H90" s="2">
        <v>3</v>
      </c>
      <c r="I90" s="2">
        <v>25</v>
      </c>
      <c r="J90" t="str">
        <f>_xlfn.XLOOKUP(Table2[[#This Row],[Customer_ID]],Table1[Customer_ID],Table1[Customer_Name])</f>
        <v>Judie Sawicki</v>
      </c>
      <c r="K90" s="14" t="s">
        <v>183</v>
      </c>
      <c r="L90">
        <f>SUMIFS(Table2[Order_Price],Table3[Name],K90)</f>
        <v>2960</v>
      </c>
      <c r="M90">
        <v>2960</v>
      </c>
    </row>
    <row r="91" spans="1:13" x14ac:dyDescent="0.35">
      <c r="A91" s="4">
        <v>40475</v>
      </c>
      <c r="B91" s="2">
        <v>10312</v>
      </c>
      <c r="C91" s="2">
        <v>51</v>
      </c>
      <c r="D91" s="2">
        <v>65</v>
      </c>
      <c r="E91" s="2">
        <v>31</v>
      </c>
      <c r="F91" s="2">
        <v>1</v>
      </c>
      <c r="G91" s="2">
        <v>8</v>
      </c>
      <c r="H91" s="2">
        <v>18</v>
      </c>
      <c r="I91" s="2">
        <v>25</v>
      </c>
      <c r="J91" t="str">
        <f>_xlfn.XLOOKUP(Table2[[#This Row],[Customer_ID]],Table1[Customer_ID],Table1[Customer_Name])</f>
        <v>Judie Sawicki</v>
      </c>
      <c r="K91" s="15" t="s">
        <v>185</v>
      </c>
      <c r="L91">
        <f>SUMIFS(Table2[Order_Price],Table3[Name],K91)</f>
        <v>1581</v>
      </c>
      <c r="M91">
        <v>1581</v>
      </c>
    </row>
    <row r="92" spans="1:13" x14ac:dyDescent="0.35">
      <c r="A92" s="4">
        <v>40477</v>
      </c>
      <c r="B92" s="2">
        <v>10314</v>
      </c>
      <c r="C92" s="2">
        <v>405</v>
      </c>
      <c r="D92" s="2">
        <v>67</v>
      </c>
      <c r="E92" s="2">
        <v>35</v>
      </c>
      <c r="F92" s="2">
        <v>1</v>
      </c>
      <c r="G92" s="2">
        <v>1</v>
      </c>
      <c r="H92" s="2">
        <v>13</v>
      </c>
      <c r="I92" s="2">
        <v>25</v>
      </c>
      <c r="J92" t="str">
        <f>_xlfn.XLOOKUP(Table2[[#This Row],[Customer_ID]],Table1[Customer_ID],Table1[Customer_Name])</f>
        <v>Kaitlyn Killian</v>
      </c>
      <c r="K92" s="14" t="s">
        <v>187</v>
      </c>
      <c r="L92">
        <f>SUMIFS(Table2[Order_Price],Table3[Name],K92)</f>
        <v>374</v>
      </c>
      <c r="M92">
        <v>374</v>
      </c>
    </row>
    <row r="93" spans="1:13" x14ac:dyDescent="0.35">
      <c r="A93" s="4">
        <v>40477</v>
      </c>
      <c r="B93" s="2">
        <v>10314</v>
      </c>
      <c r="C93" s="2">
        <v>410</v>
      </c>
      <c r="D93" s="2">
        <v>67</v>
      </c>
      <c r="E93" s="2">
        <v>35</v>
      </c>
      <c r="F93" s="2">
        <v>1</v>
      </c>
      <c r="G93" s="2">
        <v>1</v>
      </c>
      <c r="H93" s="2">
        <v>16</v>
      </c>
      <c r="I93" s="2">
        <v>25</v>
      </c>
      <c r="J93" t="str">
        <f>_xlfn.XLOOKUP(Table2[[#This Row],[Customer_ID]],Table1[Customer_ID],Table1[Customer_Name])</f>
        <v>Kaitlyn Killian</v>
      </c>
      <c r="K93" s="15" t="s">
        <v>189</v>
      </c>
      <c r="L93">
        <f>SUMIFS(Table2[Order_Price],Table3[Name],K93)</f>
        <v>321</v>
      </c>
      <c r="M93">
        <v>321</v>
      </c>
    </row>
    <row r="94" spans="1:13" x14ac:dyDescent="0.35">
      <c r="A94" s="4">
        <v>40477</v>
      </c>
      <c r="B94" s="2">
        <v>10314</v>
      </c>
      <c r="C94" s="2">
        <v>321</v>
      </c>
      <c r="D94" s="2">
        <v>67</v>
      </c>
      <c r="E94" s="2">
        <v>35</v>
      </c>
      <c r="F94" s="2">
        <v>1</v>
      </c>
      <c r="G94" s="2">
        <v>2</v>
      </c>
      <c r="H94" s="2">
        <v>5</v>
      </c>
      <c r="I94" s="2">
        <v>25</v>
      </c>
      <c r="J94" t="str">
        <f>_xlfn.XLOOKUP(Table2[[#This Row],[Customer_ID]],Table1[Customer_ID],Table1[Customer_Name])</f>
        <v>Kaitlyn Killian</v>
      </c>
      <c r="K94" s="14" t="s">
        <v>191</v>
      </c>
      <c r="L94">
        <f>SUMIFS(Table2[Order_Price],Table3[Name],K94)</f>
        <v>8510</v>
      </c>
      <c r="M94">
        <v>8510</v>
      </c>
    </row>
    <row r="95" spans="1:13" x14ac:dyDescent="0.35">
      <c r="A95" s="4">
        <v>40479</v>
      </c>
      <c r="B95" s="2">
        <v>10316</v>
      </c>
      <c r="C95" s="2">
        <v>255</v>
      </c>
      <c r="D95" s="2">
        <v>69</v>
      </c>
      <c r="E95" s="2">
        <v>44</v>
      </c>
      <c r="F95" s="2">
        <v>1</v>
      </c>
      <c r="G95" s="2">
        <v>8</v>
      </c>
      <c r="H95" s="2">
        <v>2</v>
      </c>
      <c r="I95" s="2">
        <v>25</v>
      </c>
      <c r="J95" t="str">
        <f>_xlfn.XLOOKUP(Table2[[#This Row],[Customer_ID]],Table1[Customer_ID],Table1[Customer_Name])</f>
        <v>Kareem Koser</v>
      </c>
      <c r="K95" s="15" t="s">
        <v>193</v>
      </c>
      <c r="L95">
        <f>SUMIFS(Table2[Order_Price],Table3[Name],K95)</f>
        <v>2766</v>
      </c>
      <c r="M95">
        <v>2766</v>
      </c>
    </row>
    <row r="96" spans="1:13" x14ac:dyDescent="0.35">
      <c r="A96" s="4">
        <v>40479</v>
      </c>
      <c r="B96" s="2">
        <v>10316</v>
      </c>
      <c r="C96" s="2">
        <v>281</v>
      </c>
      <c r="D96" s="2">
        <v>69</v>
      </c>
      <c r="E96" s="2">
        <v>44</v>
      </c>
      <c r="F96" s="2">
        <v>1</v>
      </c>
      <c r="G96" s="2">
        <v>2</v>
      </c>
      <c r="H96" s="2">
        <v>4</v>
      </c>
      <c r="I96" s="2">
        <v>25</v>
      </c>
      <c r="J96" t="str">
        <f>_xlfn.XLOOKUP(Table2[[#This Row],[Customer_ID]],Table1[Customer_ID],Table1[Customer_Name])</f>
        <v>Kareem Koser</v>
      </c>
      <c r="K96" s="14" t="s">
        <v>195</v>
      </c>
      <c r="L96">
        <f>SUMIFS(Table2[Order_Price],Table3[Name],K96)</f>
        <v>4202</v>
      </c>
      <c r="M96">
        <v>4202</v>
      </c>
    </row>
    <row r="97" spans="1:13" x14ac:dyDescent="0.35">
      <c r="A97" s="4">
        <v>40483</v>
      </c>
      <c r="B97" s="2">
        <v>10318</v>
      </c>
      <c r="C97" s="2">
        <v>304</v>
      </c>
      <c r="D97" s="2">
        <v>71</v>
      </c>
      <c r="E97" s="2">
        <v>51</v>
      </c>
      <c r="F97" s="2">
        <v>1</v>
      </c>
      <c r="G97" s="2">
        <v>5</v>
      </c>
      <c r="H97" s="2">
        <v>3</v>
      </c>
      <c r="I97" s="2">
        <v>25</v>
      </c>
      <c r="J97" t="str">
        <f>_xlfn.XLOOKUP(Table2[[#This Row],[Customer_ID]],Table1[Customer_ID],Table1[Customer_Name])</f>
        <v>Karissa Kircher</v>
      </c>
      <c r="K97" s="15" t="s">
        <v>197</v>
      </c>
      <c r="L97">
        <f>SUMIFS(Table2[Order_Price],Table3[Name],K97)</f>
        <v>2240</v>
      </c>
      <c r="M97">
        <v>2240</v>
      </c>
    </row>
    <row r="98" spans="1:13" x14ac:dyDescent="0.35">
      <c r="A98" s="4">
        <v>40483</v>
      </c>
      <c r="B98" s="2">
        <v>10318</v>
      </c>
      <c r="C98" s="2">
        <v>303</v>
      </c>
      <c r="D98" s="2">
        <v>71</v>
      </c>
      <c r="E98" s="2">
        <v>51</v>
      </c>
      <c r="F98" s="2">
        <v>1</v>
      </c>
      <c r="G98" s="2">
        <v>7</v>
      </c>
      <c r="H98" s="2">
        <v>3</v>
      </c>
      <c r="I98" s="2">
        <v>25</v>
      </c>
      <c r="J98" t="str">
        <f>_xlfn.XLOOKUP(Table2[[#This Row],[Customer_ID]],Table1[Customer_ID],Table1[Customer_Name])</f>
        <v>Karissa Kircher</v>
      </c>
      <c r="K98" s="14" t="s">
        <v>199</v>
      </c>
      <c r="L98">
        <f>SUMIFS(Table2[Order_Price],Table3[Name],K98)</f>
        <v>7657</v>
      </c>
      <c r="M98">
        <v>7657</v>
      </c>
    </row>
    <row r="99" spans="1:13" x14ac:dyDescent="0.35">
      <c r="A99" s="4">
        <v>40485</v>
      </c>
      <c r="B99" s="2">
        <v>10320</v>
      </c>
      <c r="C99" s="2">
        <v>338</v>
      </c>
      <c r="D99" s="2">
        <v>73</v>
      </c>
      <c r="E99" s="2">
        <v>16</v>
      </c>
      <c r="F99" s="2">
        <v>1</v>
      </c>
      <c r="G99" s="2">
        <v>15</v>
      </c>
      <c r="H99" s="2">
        <v>4</v>
      </c>
      <c r="I99" s="2">
        <v>25</v>
      </c>
      <c r="J99" t="str">
        <f>_xlfn.XLOOKUP(Table2[[#This Row],[Customer_ID]],Table1[Customer_ID],Table1[Customer_Name])</f>
        <v>Katharine Pearcy</v>
      </c>
      <c r="K99" s="15" t="s">
        <v>201</v>
      </c>
      <c r="L99">
        <f>SUMIFS(Table2[Order_Price],Table3[Name],K99)</f>
        <v>5015</v>
      </c>
      <c r="M99">
        <v>5015</v>
      </c>
    </row>
    <row r="100" spans="1:13" x14ac:dyDescent="0.35">
      <c r="A100" s="4">
        <v>40486</v>
      </c>
      <c r="B100" s="2">
        <v>10322</v>
      </c>
      <c r="C100" s="2">
        <v>335</v>
      </c>
      <c r="D100" s="2">
        <v>75</v>
      </c>
      <c r="E100" s="2">
        <v>62</v>
      </c>
      <c r="F100" s="2">
        <v>1</v>
      </c>
      <c r="G100" s="2">
        <v>2</v>
      </c>
      <c r="H100" s="2">
        <v>4</v>
      </c>
      <c r="I100" s="2">
        <v>25</v>
      </c>
      <c r="J100" t="str">
        <f>_xlfn.XLOOKUP(Table2[[#This Row],[Customer_ID]],Table1[Customer_ID],Table1[Customer_Name])</f>
        <v>Keisha Koh</v>
      </c>
      <c r="K100" s="14" t="s">
        <v>203</v>
      </c>
      <c r="L100">
        <f>SUMIFS(Table2[Order_Price],Table3[Name],K100)</f>
        <v>6071</v>
      </c>
      <c r="M100">
        <v>6071</v>
      </c>
    </row>
    <row r="101" spans="1:13" ht="29" x14ac:dyDescent="0.35">
      <c r="A101" s="4">
        <v>40490</v>
      </c>
      <c r="B101" s="2">
        <v>10324</v>
      </c>
      <c r="C101" s="2">
        <v>128</v>
      </c>
      <c r="D101" s="2">
        <v>77</v>
      </c>
      <c r="E101" s="2">
        <v>4</v>
      </c>
      <c r="F101" s="2">
        <v>1</v>
      </c>
      <c r="G101" s="2">
        <v>3</v>
      </c>
      <c r="H101" s="2">
        <v>644</v>
      </c>
      <c r="I101" s="2">
        <v>25</v>
      </c>
      <c r="J101" t="str">
        <f>_xlfn.XLOOKUP(Table2[[#This Row],[Customer_ID]],Table1[Customer_ID],Table1[Customer_Name])</f>
        <v>Kyla Danek</v>
      </c>
      <c r="K101" s="15" t="s">
        <v>205</v>
      </c>
      <c r="L101">
        <f>SUMIFS(Table2[Order_Price],Table3[Name],K101)</f>
        <v>9044</v>
      </c>
      <c r="M101">
        <v>9044</v>
      </c>
    </row>
    <row r="102" spans="1:13" x14ac:dyDescent="0.35">
      <c r="A102" s="4">
        <v>40490</v>
      </c>
      <c r="B102" s="2">
        <v>10324</v>
      </c>
      <c r="C102" s="2">
        <v>126</v>
      </c>
      <c r="D102" s="2">
        <v>77</v>
      </c>
      <c r="E102" s="2">
        <v>4</v>
      </c>
      <c r="F102" s="2">
        <v>1</v>
      </c>
      <c r="G102" s="2">
        <v>8</v>
      </c>
      <c r="H102" s="2">
        <v>450</v>
      </c>
      <c r="I102" s="2">
        <v>25</v>
      </c>
      <c r="J102" t="str">
        <f>_xlfn.XLOOKUP(Table2[[#This Row],[Customer_ID]],Table1[Customer_ID],Table1[Customer_Name])</f>
        <v>Kyla Danek</v>
      </c>
    </row>
    <row r="103" spans="1:13" x14ac:dyDescent="0.35">
      <c r="A103" s="4">
        <v>40490</v>
      </c>
      <c r="B103" s="2">
        <v>10324</v>
      </c>
      <c r="C103" s="2">
        <v>262</v>
      </c>
      <c r="D103" s="2">
        <v>77</v>
      </c>
      <c r="E103" s="2">
        <v>4</v>
      </c>
      <c r="F103" s="2">
        <v>1</v>
      </c>
      <c r="G103" s="2">
        <v>1</v>
      </c>
      <c r="H103" s="2">
        <v>3</v>
      </c>
      <c r="I103" s="2">
        <v>25</v>
      </c>
      <c r="J103" t="str">
        <f>_xlfn.XLOOKUP(Table2[[#This Row],[Customer_ID]],Table1[Customer_ID],Table1[Customer_Name])</f>
        <v>Kyla Danek</v>
      </c>
    </row>
    <row r="104" spans="1:13" x14ac:dyDescent="0.35">
      <c r="A104" s="4">
        <v>40490</v>
      </c>
      <c r="B104" s="2">
        <v>10324</v>
      </c>
      <c r="C104" s="2">
        <v>269</v>
      </c>
      <c r="D104" s="2">
        <v>77</v>
      </c>
      <c r="E104" s="2">
        <v>4</v>
      </c>
      <c r="F104" s="2">
        <v>1</v>
      </c>
      <c r="G104" s="2">
        <v>2</v>
      </c>
      <c r="H104" s="2">
        <v>3</v>
      </c>
      <c r="I104" s="2">
        <v>25</v>
      </c>
      <c r="J104" t="str">
        <f>_xlfn.XLOOKUP(Table2[[#This Row],[Customer_ID]],Table1[Customer_ID],Table1[Customer_Name])</f>
        <v>Kyla Danek</v>
      </c>
    </row>
    <row r="105" spans="1:13" x14ac:dyDescent="0.35">
      <c r="A105" s="4">
        <v>40490</v>
      </c>
      <c r="B105" s="2">
        <v>10324</v>
      </c>
      <c r="C105" s="2">
        <v>127</v>
      </c>
      <c r="D105" s="2">
        <v>77</v>
      </c>
      <c r="E105" s="2">
        <v>4</v>
      </c>
      <c r="F105" s="2">
        <v>1</v>
      </c>
      <c r="G105" s="2">
        <v>1</v>
      </c>
      <c r="H105" s="2">
        <v>695</v>
      </c>
      <c r="I105" s="2">
        <v>25</v>
      </c>
      <c r="J105" t="str">
        <f>_xlfn.XLOOKUP(Table2[[#This Row],[Customer_ID]],Table1[Customer_ID],Table1[Customer_Name])</f>
        <v>Kyla Danek</v>
      </c>
    </row>
    <row r="106" spans="1:13" x14ac:dyDescent="0.35">
      <c r="A106" s="4">
        <v>40492</v>
      </c>
      <c r="B106" s="2">
        <v>10326</v>
      </c>
      <c r="C106" s="2">
        <v>361</v>
      </c>
      <c r="D106" s="2">
        <v>79</v>
      </c>
      <c r="E106" s="2">
        <v>1</v>
      </c>
      <c r="F106" s="2">
        <v>1</v>
      </c>
      <c r="G106" s="2">
        <v>6</v>
      </c>
      <c r="H106" s="2">
        <v>123</v>
      </c>
      <c r="I106" s="2">
        <v>25</v>
      </c>
      <c r="J106" t="str">
        <f>_xlfn.XLOOKUP(Table2[[#This Row],[Customer_ID]],Table1[Customer_ID],Table1[Customer_Name])</f>
        <v>Lala Ladue</v>
      </c>
    </row>
    <row r="107" spans="1:13" x14ac:dyDescent="0.35">
      <c r="A107" s="4">
        <v>40492</v>
      </c>
      <c r="B107" s="2">
        <v>10326</v>
      </c>
      <c r="C107" s="2">
        <v>352</v>
      </c>
      <c r="D107" s="2">
        <v>79</v>
      </c>
      <c r="E107" s="2">
        <v>1</v>
      </c>
      <c r="F107" s="2">
        <v>1</v>
      </c>
      <c r="G107" s="2">
        <v>2</v>
      </c>
      <c r="H107" s="2">
        <v>89</v>
      </c>
      <c r="I107" s="2">
        <v>25</v>
      </c>
      <c r="J107" t="str">
        <f>_xlfn.XLOOKUP(Table2[[#This Row],[Customer_ID]],Table1[Customer_ID],Table1[Customer_Name])</f>
        <v>Lala Ladue</v>
      </c>
    </row>
    <row r="108" spans="1:13" x14ac:dyDescent="0.35">
      <c r="A108" s="4">
        <v>40492</v>
      </c>
      <c r="B108" s="2">
        <v>10326</v>
      </c>
      <c r="C108" s="2">
        <v>197</v>
      </c>
      <c r="D108" s="2">
        <v>79</v>
      </c>
      <c r="E108" s="2">
        <v>1</v>
      </c>
      <c r="F108" s="2">
        <v>1</v>
      </c>
      <c r="G108" s="2">
        <v>3</v>
      </c>
      <c r="H108" s="2">
        <v>3</v>
      </c>
      <c r="I108" s="2">
        <v>25</v>
      </c>
      <c r="J108" t="str">
        <f>_xlfn.XLOOKUP(Table2[[#This Row],[Customer_ID]],Table1[Customer_ID],Table1[Customer_Name])</f>
        <v>Lala Ladue</v>
      </c>
    </row>
    <row r="109" spans="1:13" x14ac:dyDescent="0.35">
      <c r="A109" s="4">
        <v>40496</v>
      </c>
      <c r="B109" s="2">
        <v>10328</v>
      </c>
      <c r="C109" s="2">
        <v>382</v>
      </c>
      <c r="D109" s="2">
        <v>81</v>
      </c>
      <c r="E109" s="2">
        <v>96</v>
      </c>
      <c r="F109" s="2">
        <v>1</v>
      </c>
      <c r="G109" s="2">
        <v>6</v>
      </c>
      <c r="H109" s="2">
        <v>5</v>
      </c>
      <c r="I109" s="2">
        <v>25</v>
      </c>
      <c r="J109" t="str">
        <f>_xlfn.XLOOKUP(Table2[[#This Row],[Customer_ID]],Table1[Customer_ID],Table1[Customer_Name])</f>
        <v>Leanne Lockhart</v>
      </c>
    </row>
    <row r="110" spans="1:13" x14ac:dyDescent="0.35">
      <c r="A110" s="4">
        <v>40496</v>
      </c>
      <c r="B110" s="2">
        <v>10328</v>
      </c>
      <c r="C110" s="2">
        <v>383</v>
      </c>
      <c r="D110" s="2">
        <v>81</v>
      </c>
      <c r="E110" s="2">
        <v>96</v>
      </c>
      <c r="F110" s="2">
        <v>1</v>
      </c>
      <c r="G110" s="2">
        <v>2</v>
      </c>
      <c r="H110" s="2">
        <v>9</v>
      </c>
      <c r="I110" s="2">
        <v>25</v>
      </c>
      <c r="J110" t="str">
        <f>_xlfn.XLOOKUP(Table2[[#This Row],[Customer_ID]],Table1[Customer_ID],Table1[Customer_Name])</f>
        <v>Leanne Lockhart</v>
      </c>
    </row>
    <row r="111" spans="1:13" x14ac:dyDescent="0.35">
      <c r="A111" s="4">
        <v>40496</v>
      </c>
      <c r="B111" s="2">
        <v>10328</v>
      </c>
      <c r="C111" s="2">
        <v>375</v>
      </c>
      <c r="D111" s="2">
        <v>81</v>
      </c>
      <c r="E111" s="2">
        <v>96</v>
      </c>
      <c r="F111" s="2">
        <v>1</v>
      </c>
      <c r="G111" s="2">
        <v>8</v>
      </c>
      <c r="H111" s="2">
        <v>5</v>
      </c>
      <c r="I111" s="2">
        <v>25</v>
      </c>
      <c r="J111" t="str">
        <f>_xlfn.XLOOKUP(Table2[[#This Row],[Customer_ID]],Table1[Customer_ID],Table1[Customer_Name])</f>
        <v>Leanne Lockhart</v>
      </c>
    </row>
    <row r="112" spans="1:13" x14ac:dyDescent="0.35">
      <c r="A112" s="4">
        <v>40498</v>
      </c>
      <c r="B112" s="2">
        <v>10330</v>
      </c>
      <c r="C112" s="2">
        <v>380</v>
      </c>
      <c r="D112" s="2">
        <v>83</v>
      </c>
      <c r="E112" s="2">
        <v>25</v>
      </c>
      <c r="F112" s="2">
        <v>1</v>
      </c>
      <c r="G112" s="2">
        <v>5</v>
      </c>
      <c r="H112" s="2">
        <v>9</v>
      </c>
      <c r="I112" s="2">
        <v>25</v>
      </c>
      <c r="J112" t="str">
        <f>_xlfn.XLOOKUP(Table2[[#This Row],[Customer_ID]],Table1[Customer_ID],Table1[Customer_Name])</f>
        <v>Lily Weatherford</v>
      </c>
    </row>
    <row r="113" spans="1:10" x14ac:dyDescent="0.35">
      <c r="A113" s="4">
        <v>40498</v>
      </c>
      <c r="B113" s="2">
        <v>10330</v>
      </c>
      <c r="C113" s="2">
        <v>374</v>
      </c>
      <c r="D113" s="2">
        <v>83</v>
      </c>
      <c r="E113" s="2">
        <v>25</v>
      </c>
      <c r="F113" s="2">
        <v>1</v>
      </c>
      <c r="G113" s="2">
        <v>4</v>
      </c>
      <c r="H113" s="2">
        <v>9</v>
      </c>
      <c r="I113" s="2">
        <v>25</v>
      </c>
      <c r="J113" t="str">
        <f>_xlfn.XLOOKUP(Table2[[#This Row],[Customer_ID]],Table1[Customer_ID],Table1[Customer_Name])</f>
        <v>Lily Weatherford</v>
      </c>
    </row>
    <row r="114" spans="1:10" x14ac:dyDescent="0.35">
      <c r="A114" s="4">
        <v>40499</v>
      </c>
      <c r="B114" s="2">
        <v>10332</v>
      </c>
      <c r="C114" s="2">
        <v>196</v>
      </c>
      <c r="D114" s="2">
        <v>85</v>
      </c>
      <c r="E114" s="2">
        <v>27</v>
      </c>
      <c r="F114" s="2">
        <v>1</v>
      </c>
      <c r="G114" s="2">
        <v>8</v>
      </c>
      <c r="H114" s="2">
        <v>5</v>
      </c>
      <c r="I114" s="2">
        <v>25</v>
      </c>
      <c r="J114" t="str">
        <f>_xlfn.XLOOKUP(Table2[[#This Row],[Customer_ID]],Table1[Customer_ID],Table1[Customer_Name])</f>
        <v>Lissette Layton</v>
      </c>
    </row>
    <row r="115" spans="1:10" x14ac:dyDescent="0.35">
      <c r="A115" s="4">
        <v>40499</v>
      </c>
      <c r="B115" s="2">
        <v>10332</v>
      </c>
      <c r="C115" s="2">
        <v>271</v>
      </c>
      <c r="D115" s="2">
        <v>85</v>
      </c>
      <c r="E115" s="2">
        <v>27</v>
      </c>
      <c r="F115" s="2">
        <v>1</v>
      </c>
      <c r="G115" s="2">
        <v>4</v>
      </c>
      <c r="H115" s="2">
        <v>3</v>
      </c>
      <c r="I115" s="2">
        <v>25</v>
      </c>
      <c r="J115" t="str">
        <f>_xlfn.XLOOKUP(Table2[[#This Row],[Customer_ID]],Table1[Customer_ID],Table1[Customer_Name])</f>
        <v>Lissette Layton</v>
      </c>
    </row>
    <row r="116" spans="1:10" x14ac:dyDescent="0.35">
      <c r="A116" s="4">
        <v>40499</v>
      </c>
      <c r="B116" s="2">
        <v>10332</v>
      </c>
      <c r="C116" s="2">
        <v>356</v>
      </c>
      <c r="D116" s="2">
        <v>85</v>
      </c>
      <c r="E116" s="2">
        <v>27</v>
      </c>
      <c r="F116" s="2">
        <v>1</v>
      </c>
      <c r="G116" s="2">
        <v>1</v>
      </c>
      <c r="H116" s="2">
        <v>12</v>
      </c>
      <c r="I116" s="2">
        <v>25</v>
      </c>
      <c r="J116" t="str">
        <f>_xlfn.XLOOKUP(Table2[[#This Row],[Customer_ID]],Table1[Customer_ID],Table1[Customer_Name])</f>
        <v>Lissette Layton</v>
      </c>
    </row>
    <row r="117" spans="1:10" x14ac:dyDescent="0.35">
      <c r="A117" s="4">
        <v>40503</v>
      </c>
      <c r="B117" s="2">
        <v>10334</v>
      </c>
      <c r="C117" s="2">
        <v>270</v>
      </c>
      <c r="D117" s="2">
        <v>87</v>
      </c>
      <c r="E117" s="2">
        <v>6</v>
      </c>
      <c r="F117" s="2">
        <v>1</v>
      </c>
      <c r="G117" s="2">
        <v>9</v>
      </c>
      <c r="H117" s="2">
        <v>3</v>
      </c>
      <c r="I117" s="2">
        <v>25</v>
      </c>
      <c r="J117" t="str">
        <f>_xlfn.XLOOKUP(Table2[[#This Row],[Customer_ID]],Table1[Customer_ID],Table1[Customer_Name])</f>
        <v>Lynnette Loyola</v>
      </c>
    </row>
    <row r="118" spans="1:10" x14ac:dyDescent="0.35">
      <c r="A118" s="4">
        <v>40503</v>
      </c>
      <c r="B118" s="2">
        <v>10334</v>
      </c>
      <c r="C118" s="2">
        <v>264</v>
      </c>
      <c r="D118" s="2">
        <v>87</v>
      </c>
      <c r="E118" s="2">
        <v>6</v>
      </c>
      <c r="F118" s="2">
        <v>1</v>
      </c>
      <c r="G118" s="2">
        <v>2</v>
      </c>
      <c r="H118" s="2">
        <v>6</v>
      </c>
      <c r="I118" s="2">
        <v>25</v>
      </c>
      <c r="J118" t="str">
        <f>_xlfn.XLOOKUP(Table2[[#This Row],[Customer_ID]],Table1[Customer_ID],Table1[Customer_Name])</f>
        <v>Lynnette Loyola</v>
      </c>
    </row>
    <row r="119" spans="1:10" x14ac:dyDescent="0.35">
      <c r="A119" s="4">
        <v>40505</v>
      </c>
      <c r="B119" s="2">
        <v>10336</v>
      </c>
      <c r="C119" s="2">
        <v>310</v>
      </c>
      <c r="D119" s="2">
        <v>89</v>
      </c>
      <c r="E119" s="2">
        <v>36</v>
      </c>
      <c r="F119" s="2">
        <v>1</v>
      </c>
      <c r="G119" s="2">
        <v>1</v>
      </c>
      <c r="H119" s="2">
        <v>39</v>
      </c>
      <c r="I119" s="2">
        <v>25</v>
      </c>
      <c r="J119" t="str">
        <f>_xlfn.XLOOKUP(Table2[[#This Row],[Customer_ID]],Table1[Customer_ID],Table1[Customer_Name])</f>
        <v>Masako Moler</v>
      </c>
    </row>
    <row r="120" spans="1:10" x14ac:dyDescent="0.35">
      <c r="A120" s="4">
        <v>40507</v>
      </c>
      <c r="B120" s="2">
        <v>10338</v>
      </c>
      <c r="C120" s="2">
        <v>272</v>
      </c>
      <c r="D120" s="2">
        <v>91</v>
      </c>
      <c r="E120" s="2">
        <v>31</v>
      </c>
      <c r="F120" s="2">
        <v>1</v>
      </c>
      <c r="G120" s="2">
        <v>6</v>
      </c>
      <c r="H120" s="2">
        <v>2</v>
      </c>
      <c r="I120" s="2">
        <v>25</v>
      </c>
      <c r="J120" t="str">
        <f>_xlfn.XLOOKUP(Table2[[#This Row],[Customer_ID]],Table1[Customer_ID],Table1[Customer_Name])</f>
        <v>Maybelle Bolt</v>
      </c>
    </row>
    <row r="121" spans="1:10" x14ac:dyDescent="0.35">
      <c r="A121" s="4">
        <v>40507</v>
      </c>
      <c r="B121" s="2">
        <v>10338</v>
      </c>
      <c r="C121" s="2">
        <v>406</v>
      </c>
      <c r="D121" s="2">
        <v>91</v>
      </c>
      <c r="E121" s="2">
        <v>31</v>
      </c>
      <c r="F121" s="2">
        <v>1</v>
      </c>
      <c r="G121" s="2">
        <v>1</v>
      </c>
      <c r="H121" s="2">
        <v>20</v>
      </c>
      <c r="I121" s="2">
        <v>25</v>
      </c>
      <c r="J121" t="str">
        <f>_xlfn.XLOOKUP(Table2[[#This Row],[Customer_ID]],Table1[Customer_ID],Table1[Customer_Name])</f>
        <v>Maybelle Bolt</v>
      </c>
    </row>
    <row r="122" spans="1:10" x14ac:dyDescent="0.35">
      <c r="A122" s="4">
        <v>40511</v>
      </c>
      <c r="B122" s="2">
        <v>10340</v>
      </c>
      <c r="C122" s="2">
        <v>246</v>
      </c>
      <c r="D122" s="2">
        <v>93</v>
      </c>
      <c r="E122" s="2">
        <v>29</v>
      </c>
      <c r="F122" s="2">
        <v>1</v>
      </c>
      <c r="G122" s="2">
        <v>1</v>
      </c>
      <c r="H122" s="2">
        <v>3</v>
      </c>
      <c r="I122" s="2">
        <v>25</v>
      </c>
      <c r="J122" t="str">
        <f>_xlfn.XLOOKUP(Table2[[#This Row],[Customer_ID]],Table1[Customer_ID],Table1[Customer_Name])</f>
        <v>Mervin Chiodo</v>
      </c>
    </row>
    <row r="123" spans="1:10" x14ac:dyDescent="0.35">
      <c r="A123" s="4">
        <v>40511</v>
      </c>
      <c r="B123" s="2">
        <v>10340</v>
      </c>
      <c r="C123" s="2">
        <v>274</v>
      </c>
      <c r="D123" s="2">
        <v>93</v>
      </c>
      <c r="E123" s="2">
        <v>29</v>
      </c>
      <c r="F123" s="2">
        <v>1</v>
      </c>
      <c r="G123" s="2">
        <v>7</v>
      </c>
      <c r="H123" s="2">
        <v>3</v>
      </c>
      <c r="I123" s="2">
        <v>25</v>
      </c>
      <c r="J123" t="str">
        <f>_xlfn.XLOOKUP(Table2[[#This Row],[Customer_ID]],Table1[Customer_ID],Table1[Customer_Name])</f>
        <v>Mervin Chiodo</v>
      </c>
    </row>
    <row r="124" spans="1:10" x14ac:dyDescent="0.35">
      <c r="A124" s="4">
        <v>40511</v>
      </c>
      <c r="B124" s="2">
        <v>10340</v>
      </c>
      <c r="C124" s="2">
        <v>276</v>
      </c>
      <c r="D124" s="2">
        <v>93</v>
      </c>
      <c r="E124" s="2">
        <v>29</v>
      </c>
      <c r="F124" s="2">
        <v>1</v>
      </c>
      <c r="G124" s="2">
        <v>2</v>
      </c>
      <c r="H124" s="2">
        <v>3</v>
      </c>
      <c r="I124" s="2">
        <v>25</v>
      </c>
      <c r="J124" t="str">
        <f>_xlfn.XLOOKUP(Table2[[#This Row],[Customer_ID]],Table1[Customer_ID],Table1[Customer_Name])</f>
        <v>Mervin Chiodo</v>
      </c>
    </row>
    <row r="125" spans="1:10" x14ac:dyDescent="0.35">
      <c r="A125" s="4">
        <v>40512</v>
      </c>
      <c r="B125" s="2">
        <v>10342</v>
      </c>
      <c r="C125" s="2">
        <v>295</v>
      </c>
      <c r="D125" s="2">
        <v>95</v>
      </c>
      <c r="E125" s="2">
        <v>25</v>
      </c>
      <c r="F125" s="2">
        <v>1</v>
      </c>
      <c r="G125" s="2">
        <v>8</v>
      </c>
      <c r="H125" s="2">
        <v>3</v>
      </c>
      <c r="I125" s="2">
        <v>25</v>
      </c>
      <c r="J125" t="str">
        <f>_xlfn.XLOOKUP(Table2[[#This Row],[Customer_ID]],Table1[Customer_ID],Table1[Customer_Name])</f>
        <v>Michelle Madonia</v>
      </c>
    </row>
    <row r="126" spans="1:10" x14ac:dyDescent="0.35">
      <c r="A126" s="4">
        <v>40512</v>
      </c>
      <c r="B126" s="2">
        <v>10342</v>
      </c>
      <c r="C126" s="2">
        <v>201</v>
      </c>
      <c r="D126" s="2">
        <v>95</v>
      </c>
      <c r="E126" s="2">
        <v>25</v>
      </c>
      <c r="F126" s="2">
        <v>1</v>
      </c>
      <c r="G126" s="2">
        <v>1</v>
      </c>
      <c r="H126" s="2">
        <v>4</v>
      </c>
      <c r="I126" s="2">
        <v>25</v>
      </c>
      <c r="J126" t="str">
        <f>_xlfn.XLOOKUP(Table2[[#This Row],[Customer_ID]],Table1[Customer_ID],Table1[Customer_Name])</f>
        <v>Michelle Madonia</v>
      </c>
    </row>
    <row r="127" spans="1:10" x14ac:dyDescent="0.35">
      <c r="A127" s="4">
        <v>40512</v>
      </c>
      <c r="B127" s="2">
        <v>10342</v>
      </c>
      <c r="C127" s="2">
        <v>203</v>
      </c>
      <c r="D127" s="2">
        <v>95</v>
      </c>
      <c r="E127" s="2">
        <v>25</v>
      </c>
      <c r="F127" s="2">
        <v>1</v>
      </c>
      <c r="G127" s="2">
        <v>2</v>
      </c>
      <c r="H127" s="2">
        <v>5</v>
      </c>
      <c r="I127" s="2">
        <v>25</v>
      </c>
      <c r="J127" t="str">
        <f>_xlfn.XLOOKUP(Table2[[#This Row],[Customer_ID]],Table1[Customer_ID],Table1[Customer_Name])</f>
        <v>Michelle Madonia</v>
      </c>
    </row>
    <row r="128" spans="1:10" x14ac:dyDescent="0.35">
      <c r="A128" s="4">
        <v>40512</v>
      </c>
      <c r="B128" s="2">
        <v>10342</v>
      </c>
      <c r="C128" s="2">
        <v>275</v>
      </c>
      <c r="D128" s="2">
        <v>95</v>
      </c>
      <c r="E128" s="2">
        <v>25</v>
      </c>
      <c r="F128" s="2">
        <v>1</v>
      </c>
      <c r="G128" s="2">
        <v>3</v>
      </c>
      <c r="H128" s="2">
        <v>3</v>
      </c>
      <c r="I128" s="2">
        <v>25</v>
      </c>
      <c r="J128" t="str">
        <f>_xlfn.XLOOKUP(Table2[[#This Row],[Customer_ID]],Table1[Customer_ID],Table1[Customer_Name])</f>
        <v>Michelle Madonia</v>
      </c>
    </row>
    <row r="129" spans="1:10" x14ac:dyDescent="0.35">
      <c r="A129" s="4">
        <v>40514</v>
      </c>
      <c r="B129" s="2">
        <v>10344</v>
      </c>
      <c r="C129" s="2">
        <v>152</v>
      </c>
      <c r="D129" s="2">
        <v>97</v>
      </c>
      <c r="E129" s="2">
        <v>51</v>
      </c>
      <c r="F129" s="2">
        <v>1</v>
      </c>
      <c r="G129" s="2">
        <v>1</v>
      </c>
      <c r="H129" s="2">
        <v>517</v>
      </c>
      <c r="I129" s="2">
        <v>25</v>
      </c>
      <c r="J129" t="str">
        <f>_xlfn.XLOOKUP(Table2[[#This Row],[Customer_ID]],Table1[Customer_ID],Table1[Customer_Name])</f>
        <v>Mitchell Doughtie</v>
      </c>
    </row>
    <row r="130" spans="1:10" x14ac:dyDescent="0.35">
      <c r="A130" s="4">
        <v>40514</v>
      </c>
      <c r="B130" s="2">
        <v>10344</v>
      </c>
      <c r="C130" s="2">
        <v>161</v>
      </c>
      <c r="D130" s="2">
        <v>97</v>
      </c>
      <c r="E130" s="2">
        <v>51</v>
      </c>
      <c r="F130" s="2">
        <v>1</v>
      </c>
      <c r="G130" s="2">
        <v>7</v>
      </c>
      <c r="H130" s="2">
        <v>5759</v>
      </c>
      <c r="I130" s="2">
        <v>25</v>
      </c>
      <c r="J130" t="str">
        <f>_xlfn.XLOOKUP(Table2[[#This Row],[Customer_ID]],Table1[Customer_ID],Table1[Customer_Name])</f>
        <v>Mitchell Doughtie</v>
      </c>
    </row>
    <row r="131" spans="1:10" x14ac:dyDescent="0.35">
      <c r="A131" s="4">
        <v>40518</v>
      </c>
      <c r="B131" s="2">
        <v>10346</v>
      </c>
      <c r="C131" s="2">
        <v>158</v>
      </c>
      <c r="D131" s="2">
        <v>99</v>
      </c>
      <c r="E131" s="2">
        <v>24</v>
      </c>
      <c r="F131" s="2">
        <v>1</v>
      </c>
      <c r="G131" s="2">
        <v>6</v>
      </c>
      <c r="H131" s="2">
        <v>2595</v>
      </c>
      <c r="I131" s="2">
        <v>25</v>
      </c>
      <c r="J131" t="str">
        <f>_xlfn.XLOOKUP(Table2[[#This Row],[Customer_ID]],Table1[Customer_ID],Table1[Customer_Name])</f>
        <v>Nana Nolette</v>
      </c>
    </row>
    <row r="132" spans="1:10" x14ac:dyDescent="0.35">
      <c r="A132" s="4">
        <v>40518</v>
      </c>
      <c r="B132" s="2">
        <v>10346</v>
      </c>
      <c r="C132" s="2">
        <v>154</v>
      </c>
      <c r="D132" s="2">
        <v>99</v>
      </c>
      <c r="E132" s="2">
        <v>24</v>
      </c>
      <c r="F132" s="2">
        <v>1</v>
      </c>
      <c r="G132" s="2">
        <v>4</v>
      </c>
      <c r="H132" s="2">
        <v>1079</v>
      </c>
      <c r="I132" s="2">
        <v>25</v>
      </c>
      <c r="J132" t="str">
        <f>_xlfn.XLOOKUP(Table2[[#This Row],[Customer_ID]],Table1[Customer_ID],Table1[Customer_Name])</f>
        <v>Nana Nolette</v>
      </c>
    </row>
    <row r="133" spans="1:10" x14ac:dyDescent="0.35">
      <c r="A133" s="4">
        <v>40520</v>
      </c>
      <c r="B133" s="2">
        <v>10348</v>
      </c>
      <c r="C133" s="2">
        <v>19</v>
      </c>
      <c r="D133" s="2">
        <v>1</v>
      </c>
      <c r="E133" s="2">
        <v>94</v>
      </c>
      <c r="F133" s="2">
        <v>1</v>
      </c>
      <c r="G133" s="2">
        <v>1</v>
      </c>
      <c r="H133" s="2">
        <v>129</v>
      </c>
      <c r="I133" s="2">
        <v>25</v>
      </c>
      <c r="J133" t="str">
        <f>_xlfn.XLOOKUP(Table2[[#This Row],[Customer_ID]],Table1[Customer_ID],Table1[Customer_Name])</f>
        <v>Agatha Clauss</v>
      </c>
    </row>
    <row r="134" spans="1:10" x14ac:dyDescent="0.35">
      <c r="A134" s="4">
        <v>40520</v>
      </c>
      <c r="B134" s="2">
        <v>10348</v>
      </c>
      <c r="C134" s="2">
        <v>34</v>
      </c>
      <c r="D134" s="2">
        <v>1</v>
      </c>
      <c r="E134" s="2">
        <v>94</v>
      </c>
      <c r="F134" s="2">
        <v>1</v>
      </c>
      <c r="G134" s="2">
        <v>3</v>
      </c>
      <c r="H134" s="2">
        <v>9</v>
      </c>
      <c r="I134" s="2">
        <v>25</v>
      </c>
      <c r="J134" t="str">
        <f>_xlfn.XLOOKUP(Table2[[#This Row],[Customer_ID]],Table1[Customer_ID],Table1[Customer_Name])</f>
        <v>Agatha Clauss</v>
      </c>
    </row>
    <row r="135" spans="1:10" x14ac:dyDescent="0.35">
      <c r="A135" s="4">
        <v>40524</v>
      </c>
      <c r="B135" s="2">
        <v>10350</v>
      </c>
      <c r="C135" s="2">
        <v>53</v>
      </c>
      <c r="D135" s="2">
        <v>3</v>
      </c>
      <c r="E135" s="2">
        <v>41</v>
      </c>
      <c r="F135" s="2">
        <v>1</v>
      </c>
      <c r="G135" s="2">
        <v>3</v>
      </c>
      <c r="H135" s="2">
        <v>19</v>
      </c>
      <c r="I135" s="2">
        <v>25</v>
      </c>
      <c r="J135" t="str">
        <f>_xlfn.XLOOKUP(Table2[[#This Row],[Customer_ID]],Table1[Customer_ID],Table1[Customer_Name])</f>
        <v>Alonzo Stoltz</v>
      </c>
    </row>
    <row r="136" spans="1:10" x14ac:dyDescent="0.35">
      <c r="A136" s="4">
        <v>40524</v>
      </c>
      <c r="B136" s="2">
        <v>10350</v>
      </c>
      <c r="C136" s="2">
        <v>68</v>
      </c>
      <c r="D136" s="2">
        <v>3</v>
      </c>
      <c r="E136" s="2">
        <v>41</v>
      </c>
      <c r="F136" s="2">
        <v>1</v>
      </c>
      <c r="G136" s="2">
        <v>1</v>
      </c>
      <c r="H136" s="2">
        <v>23</v>
      </c>
      <c r="I136" s="2">
        <v>25</v>
      </c>
      <c r="J136" t="str">
        <f>_xlfn.XLOOKUP(Table2[[#This Row],[Customer_ID]],Table1[Customer_ID],Table1[Customer_Name])</f>
        <v>Alonzo Stoltz</v>
      </c>
    </row>
    <row r="137" spans="1:10" x14ac:dyDescent="0.35">
      <c r="A137" s="4">
        <v>40525</v>
      </c>
      <c r="B137" s="2">
        <v>10352</v>
      </c>
      <c r="C137" s="2">
        <v>17</v>
      </c>
      <c r="D137" s="2">
        <v>5</v>
      </c>
      <c r="E137" s="2">
        <v>28</v>
      </c>
      <c r="F137" s="2">
        <v>1</v>
      </c>
      <c r="G137" s="2">
        <v>2</v>
      </c>
      <c r="H137" s="2">
        <v>294</v>
      </c>
      <c r="I137" s="2">
        <v>25</v>
      </c>
      <c r="J137" t="str">
        <f>_xlfn.XLOOKUP(Table2[[#This Row],[Customer_ID]],Table1[Customer_ID],Table1[Customer_Name])</f>
        <v>Anette Abdulla</v>
      </c>
    </row>
    <row r="138" spans="1:10" x14ac:dyDescent="0.35">
      <c r="A138" s="4">
        <v>40525</v>
      </c>
      <c r="B138" s="2">
        <v>10352</v>
      </c>
      <c r="C138" s="2">
        <v>12</v>
      </c>
      <c r="D138" s="2">
        <v>5</v>
      </c>
      <c r="E138" s="2">
        <v>28</v>
      </c>
      <c r="F138" s="2">
        <v>1</v>
      </c>
      <c r="G138" s="2">
        <v>4</v>
      </c>
      <c r="H138" s="2">
        <v>592</v>
      </c>
      <c r="I138" s="2">
        <v>25</v>
      </c>
      <c r="J138" t="str">
        <f>_xlfn.XLOOKUP(Table2[[#This Row],[Customer_ID]],Table1[Customer_ID],Table1[Customer_Name])</f>
        <v>Anette Abdulla</v>
      </c>
    </row>
    <row r="139" spans="1:10" x14ac:dyDescent="0.35">
      <c r="A139" s="4">
        <v>40527</v>
      </c>
      <c r="B139" s="2">
        <v>10354</v>
      </c>
      <c r="C139" s="2">
        <v>15</v>
      </c>
      <c r="D139" s="2">
        <v>7</v>
      </c>
      <c r="E139" s="2">
        <v>32</v>
      </c>
      <c r="F139" s="2">
        <v>1</v>
      </c>
      <c r="G139" s="2">
        <v>7</v>
      </c>
      <c r="H139" s="2">
        <v>428</v>
      </c>
      <c r="I139" s="2">
        <v>25</v>
      </c>
      <c r="J139" t="str">
        <f>_xlfn.XLOOKUP(Table2[[#This Row],[Customer_ID]],Table1[Customer_ID],Table1[Customer_Name])</f>
        <v>Ardath Peaslee</v>
      </c>
    </row>
    <row r="140" spans="1:10" x14ac:dyDescent="0.35">
      <c r="A140" s="4">
        <v>40527</v>
      </c>
      <c r="B140" s="2">
        <v>10354</v>
      </c>
      <c r="C140" s="2">
        <v>16</v>
      </c>
      <c r="D140" s="2">
        <v>7</v>
      </c>
      <c r="E140" s="2">
        <v>32</v>
      </c>
      <c r="F140" s="2">
        <v>1</v>
      </c>
      <c r="G140" s="2">
        <v>3</v>
      </c>
      <c r="H140" s="2">
        <v>351</v>
      </c>
      <c r="I140" s="2">
        <v>25</v>
      </c>
      <c r="J140" t="str">
        <f>_xlfn.XLOOKUP(Table2[[#This Row],[Customer_ID]],Table1[Customer_ID],Table1[Customer_Name])</f>
        <v>Ardath Peaslee</v>
      </c>
    </row>
    <row r="141" spans="1:10" x14ac:dyDescent="0.35">
      <c r="A141" s="4">
        <v>40531</v>
      </c>
      <c r="B141" s="2">
        <v>10356</v>
      </c>
      <c r="C141" s="2">
        <v>145</v>
      </c>
      <c r="D141" s="2">
        <v>9</v>
      </c>
      <c r="E141" s="2">
        <v>97</v>
      </c>
      <c r="F141" s="2">
        <v>1</v>
      </c>
      <c r="G141" s="2">
        <v>4</v>
      </c>
      <c r="H141" s="2">
        <v>66</v>
      </c>
      <c r="I141" s="2">
        <v>25</v>
      </c>
      <c r="J141" t="str">
        <f>_xlfn.XLOOKUP(Table2[[#This Row],[Customer_ID]],Table1[Customer_ID],Table1[Customer_Name])</f>
        <v>Bernarda Caughey</v>
      </c>
    </row>
    <row r="142" spans="1:10" x14ac:dyDescent="0.35">
      <c r="A142" s="4">
        <v>40531</v>
      </c>
      <c r="B142" s="2">
        <v>10356</v>
      </c>
      <c r="C142" s="2">
        <v>421</v>
      </c>
      <c r="D142" s="2">
        <v>9</v>
      </c>
      <c r="E142" s="2">
        <v>97</v>
      </c>
      <c r="F142" s="2">
        <v>1</v>
      </c>
      <c r="G142" s="2">
        <v>3</v>
      </c>
      <c r="H142" s="2">
        <v>8</v>
      </c>
      <c r="I142" s="2">
        <v>25</v>
      </c>
      <c r="J142" t="str">
        <f>_xlfn.XLOOKUP(Table2[[#This Row],[Customer_ID]],Table1[Customer_ID],Table1[Customer_Name])</f>
        <v>Bernarda Caughey</v>
      </c>
    </row>
    <row r="143" spans="1:10" x14ac:dyDescent="0.35">
      <c r="A143" s="4">
        <v>40531</v>
      </c>
      <c r="B143" s="2">
        <v>10356</v>
      </c>
      <c r="C143" s="2">
        <v>408</v>
      </c>
      <c r="D143" s="2">
        <v>9</v>
      </c>
      <c r="E143" s="2">
        <v>97</v>
      </c>
      <c r="F143" s="2">
        <v>1</v>
      </c>
      <c r="G143" s="2">
        <v>2</v>
      </c>
      <c r="H143" s="2">
        <v>20</v>
      </c>
      <c r="I143" s="2">
        <v>25</v>
      </c>
      <c r="J143" t="str">
        <f>_xlfn.XLOOKUP(Table2[[#This Row],[Customer_ID]],Table1[Customer_ID],Table1[Customer_Name])</f>
        <v>Bernarda Caughey</v>
      </c>
    </row>
    <row r="144" spans="1:10" x14ac:dyDescent="0.35">
      <c r="A144" s="4">
        <v>40533</v>
      </c>
      <c r="B144" s="2">
        <v>10358</v>
      </c>
      <c r="C144" s="2">
        <v>168</v>
      </c>
      <c r="D144" s="2">
        <v>11</v>
      </c>
      <c r="E144" s="2">
        <v>77</v>
      </c>
      <c r="F144" s="2">
        <v>1</v>
      </c>
      <c r="G144" s="2">
        <v>2</v>
      </c>
      <c r="H144" s="2">
        <v>205</v>
      </c>
      <c r="I144" s="2">
        <v>25</v>
      </c>
      <c r="J144" t="str">
        <f>_xlfn.XLOOKUP(Table2[[#This Row],[Customer_ID]],Table1[Customer_ID],Table1[Customer_Name])</f>
        <v>Bonita Honaker</v>
      </c>
    </row>
    <row r="145" spans="1:10" x14ac:dyDescent="0.35">
      <c r="A145" s="4">
        <v>40533</v>
      </c>
      <c r="B145" s="2">
        <v>10358</v>
      </c>
      <c r="C145" s="2">
        <v>135</v>
      </c>
      <c r="D145" s="2">
        <v>11</v>
      </c>
      <c r="E145" s="2">
        <v>77</v>
      </c>
      <c r="F145" s="2">
        <v>1</v>
      </c>
      <c r="G145" s="2">
        <v>1</v>
      </c>
      <c r="H145" s="2">
        <v>141</v>
      </c>
      <c r="I145" s="2">
        <v>25</v>
      </c>
      <c r="J145" t="str">
        <f>_xlfn.XLOOKUP(Table2[[#This Row],[Customer_ID]],Table1[Customer_ID],Table1[Customer_Name])</f>
        <v>Bonita Honaker</v>
      </c>
    </row>
    <row r="146" spans="1:10" x14ac:dyDescent="0.35">
      <c r="A146" s="4">
        <v>40533</v>
      </c>
      <c r="B146" s="2">
        <v>10358</v>
      </c>
      <c r="C146" s="2">
        <v>165</v>
      </c>
      <c r="D146" s="2">
        <v>11</v>
      </c>
      <c r="E146" s="2">
        <v>77</v>
      </c>
      <c r="F146" s="2">
        <v>1</v>
      </c>
      <c r="G146" s="2">
        <v>2</v>
      </c>
      <c r="H146" s="2">
        <v>202</v>
      </c>
      <c r="I146" s="2">
        <v>25</v>
      </c>
      <c r="J146" t="str">
        <f>_xlfn.XLOOKUP(Table2[[#This Row],[Customer_ID]],Table1[Customer_ID],Table1[Customer_Name])</f>
        <v>Bonita Honaker</v>
      </c>
    </row>
    <row r="147" spans="1:10" x14ac:dyDescent="0.35">
      <c r="A147" s="4">
        <v>40535</v>
      </c>
      <c r="B147" s="2">
        <v>10360</v>
      </c>
      <c r="C147" s="2">
        <v>242</v>
      </c>
      <c r="D147" s="2">
        <v>13</v>
      </c>
      <c r="E147" s="2">
        <v>30</v>
      </c>
      <c r="F147" s="2">
        <v>1</v>
      </c>
      <c r="G147" s="2">
        <v>2</v>
      </c>
      <c r="H147" s="2">
        <v>20</v>
      </c>
      <c r="I147" s="2">
        <v>25</v>
      </c>
      <c r="J147" t="str">
        <f>_xlfn.XLOOKUP(Table2[[#This Row],[Customer_ID]],Table1[Customer_ID],Table1[Customer_Name])</f>
        <v>Bryant Ertel</v>
      </c>
    </row>
    <row r="148" spans="1:10" x14ac:dyDescent="0.35">
      <c r="A148" s="4">
        <v>40535</v>
      </c>
      <c r="B148" s="2">
        <v>10360</v>
      </c>
      <c r="C148" s="2">
        <v>232</v>
      </c>
      <c r="D148" s="2">
        <v>13</v>
      </c>
      <c r="E148" s="2">
        <v>30</v>
      </c>
      <c r="F148" s="2">
        <v>1</v>
      </c>
      <c r="G148" s="2">
        <v>3</v>
      </c>
      <c r="H148" s="2">
        <v>4</v>
      </c>
      <c r="I148" s="2">
        <v>25</v>
      </c>
      <c r="J148" t="str">
        <f>_xlfn.XLOOKUP(Table2[[#This Row],[Customer_ID]],Table1[Customer_ID],Table1[Customer_Name])</f>
        <v>Bryant Ertel</v>
      </c>
    </row>
    <row r="149" spans="1:10" x14ac:dyDescent="0.35">
      <c r="A149" s="4">
        <v>40535</v>
      </c>
      <c r="B149" s="2">
        <v>10360</v>
      </c>
      <c r="C149" s="2">
        <v>278</v>
      </c>
      <c r="D149" s="2">
        <v>13</v>
      </c>
      <c r="E149" s="2">
        <v>30</v>
      </c>
      <c r="F149" s="2">
        <v>1</v>
      </c>
      <c r="G149" s="2">
        <v>1</v>
      </c>
      <c r="H149" s="2">
        <v>2</v>
      </c>
      <c r="I149" s="2">
        <v>25</v>
      </c>
      <c r="J149" t="str">
        <f>_xlfn.XLOOKUP(Table2[[#This Row],[Customer_ID]],Table1[Customer_ID],Table1[Customer_Name])</f>
        <v>Bryant Ertel</v>
      </c>
    </row>
    <row r="150" spans="1:10" x14ac:dyDescent="0.35">
      <c r="A150" s="4">
        <v>40535</v>
      </c>
      <c r="B150" s="2">
        <v>10360</v>
      </c>
      <c r="C150" s="2">
        <v>314</v>
      </c>
      <c r="D150" s="2">
        <v>13</v>
      </c>
      <c r="E150" s="2">
        <v>30</v>
      </c>
      <c r="F150" s="2">
        <v>1</v>
      </c>
      <c r="G150" s="2">
        <v>1</v>
      </c>
      <c r="H150" s="2">
        <v>4</v>
      </c>
      <c r="I150" s="2">
        <v>25</v>
      </c>
      <c r="J150" t="str">
        <f>_xlfn.XLOOKUP(Table2[[#This Row],[Customer_ID]],Table1[Customer_ID],Table1[Customer_Name])</f>
        <v>Bryant Ertel</v>
      </c>
    </row>
    <row r="151" spans="1:10" x14ac:dyDescent="0.35">
      <c r="A151" s="4">
        <v>40535</v>
      </c>
      <c r="B151" s="2">
        <v>10360</v>
      </c>
      <c r="C151" s="2">
        <v>289</v>
      </c>
      <c r="D151" s="2">
        <v>13</v>
      </c>
      <c r="E151" s="2">
        <v>30</v>
      </c>
      <c r="F151" s="2">
        <v>1</v>
      </c>
      <c r="G151" s="2">
        <v>1</v>
      </c>
      <c r="H151" s="2">
        <v>4</v>
      </c>
      <c r="I151" s="2">
        <v>25</v>
      </c>
      <c r="J151" t="str">
        <f>_xlfn.XLOOKUP(Table2[[#This Row],[Customer_ID]],Table1[Customer_ID],Table1[Customer_Name])</f>
        <v>Bryant Ertel</v>
      </c>
    </row>
    <row r="152" spans="1:10" x14ac:dyDescent="0.35">
      <c r="A152" s="4">
        <v>40538</v>
      </c>
      <c r="B152" s="2">
        <v>10362</v>
      </c>
      <c r="C152" s="2">
        <v>301</v>
      </c>
      <c r="D152" s="2">
        <v>15</v>
      </c>
      <c r="E152" s="2">
        <v>12</v>
      </c>
      <c r="F152" s="2">
        <v>1</v>
      </c>
      <c r="G152" s="2">
        <v>3</v>
      </c>
      <c r="H152" s="2">
        <v>26</v>
      </c>
      <c r="I152" s="2">
        <v>25</v>
      </c>
      <c r="J152" t="str">
        <f>_xlfn.XLOOKUP(Table2[[#This Row],[Customer_ID]],Table1[Customer_ID],Table1[Customer_Name])</f>
        <v>Caryn Conry</v>
      </c>
    </row>
    <row r="153" spans="1:10" x14ac:dyDescent="0.35">
      <c r="A153" s="4">
        <v>40538</v>
      </c>
      <c r="B153" s="2">
        <v>10362</v>
      </c>
      <c r="C153" s="2">
        <v>436</v>
      </c>
      <c r="D153" s="2">
        <v>15</v>
      </c>
      <c r="E153" s="2">
        <v>12</v>
      </c>
      <c r="F153" s="2">
        <v>1</v>
      </c>
      <c r="G153" s="2">
        <v>7</v>
      </c>
      <c r="H153" s="2">
        <v>8</v>
      </c>
      <c r="I153" s="2">
        <v>25</v>
      </c>
      <c r="J153" t="str">
        <f>_xlfn.XLOOKUP(Table2[[#This Row],[Customer_ID]],Table1[Customer_ID],Table1[Customer_Name])</f>
        <v>Caryn Conry</v>
      </c>
    </row>
    <row r="154" spans="1:10" x14ac:dyDescent="0.35">
      <c r="A154" s="4">
        <v>40538</v>
      </c>
      <c r="B154" s="2">
        <v>10362</v>
      </c>
      <c r="C154" s="2">
        <v>40</v>
      </c>
      <c r="D154" s="2">
        <v>15</v>
      </c>
      <c r="E154" s="2">
        <v>12</v>
      </c>
      <c r="F154" s="2">
        <v>1</v>
      </c>
      <c r="G154" s="2">
        <v>1</v>
      </c>
      <c r="H154" s="2">
        <v>15</v>
      </c>
      <c r="I154" s="2">
        <v>25</v>
      </c>
      <c r="J154" t="str">
        <f>_xlfn.XLOOKUP(Table2[[#This Row],[Customer_ID]],Table1[Customer_ID],Table1[Customer_Name])</f>
        <v>Caryn Conry</v>
      </c>
    </row>
    <row r="155" spans="1:10" x14ac:dyDescent="0.35">
      <c r="A155" s="4">
        <v>40539</v>
      </c>
      <c r="B155" s="2">
        <v>10364</v>
      </c>
      <c r="C155" s="2">
        <v>287</v>
      </c>
      <c r="D155" s="2">
        <v>17</v>
      </c>
      <c r="E155" s="2">
        <v>21</v>
      </c>
      <c r="F155" s="2">
        <v>1</v>
      </c>
      <c r="G155" s="2">
        <v>5</v>
      </c>
      <c r="H155" s="2">
        <v>3</v>
      </c>
      <c r="I155" s="2">
        <v>25</v>
      </c>
      <c r="J155" t="str">
        <f>_xlfn.XLOOKUP(Table2[[#This Row],[Customer_ID]],Table1[Customer_ID],Table1[Customer_Name])</f>
        <v>Cecelia Beeler</v>
      </c>
    </row>
    <row r="156" spans="1:10" x14ac:dyDescent="0.35">
      <c r="A156" s="4">
        <v>40539</v>
      </c>
      <c r="B156" s="2">
        <v>10364</v>
      </c>
      <c r="C156" s="2">
        <v>370</v>
      </c>
      <c r="D156" s="2">
        <v>17</v>
      </c>
      <c r="E156" s="2">
        <v>21</v>
      </c>
      <c r="F156" s="2">
        <v>1</v>
      </c>
      <c r="G156" s="2">
        <v>5</v>
      </c>
      <c r="H156" s="2">
        <v>7</v>
      </c>
      <c r="I156" s="2">
        <v>25</v>
      </c>
      <c r="J156" t="str">
        <f>_xlfn.XLOOKUP(Table2[[#This Row],[Customer_ID]],Table1[Customer_ID],Table1[Customer_Name])</f>
        <v>Cecelia Beeler</v>
      </c>
    </row>
    <row r="157" spans="1:10" x14ac:dyDescent="0.35">
      <c r="A157" s="4">
        <v>40541</v>
      </c>
      <c r="B157" s="2">
        <v>10366</v>
      </c>
      <c r="C157" s="2">
        <v>403</v>
      </c>
      <c r="D157" s="2">
        <v>19</v>
      </c>
      <c r="E157" s="2">
        <v>57</v>
      </c>
      <c r="F157" s="2">
        <v>1</v>
      </c>
      <c r="G157" s="2">
        <v>1</v>
      </c>
      <c r="H157" s="2">
        <v>18</v>
      </c>
      <c r="I157" s="2">
        <v>25</v>
      </c>
      <c r="J157" t="str">
        <f>_xlfn.XLOOKUP(Table2[[#This Row],[Customer_ID]],Table1[Customer_ID],Table1[Customer_Name])</f>
        <v>Charlyn Sanroman</v>
      </c>
    </row>
    <row r="158" spans="1:10" x14ac:dyDescent="0.35">
      <c r="A158" s="4">
        <v>40541</v>
      </c>
      <c r="B158" s="2">
        <v>10366</v>
      </c>
      <c r="C158" s="2">
        <v>325</v>
      </c>
      <c r="D158" s="2">
        <v>19</v>
      </c>
      <c r="E158" s="2">
        <v>57</v>
      </c>
      <c r="F158" s="2">
        <v>1</v>
      </c>
      <c r="G158" s="2">
        <v>2</v>
      </c>
      <c r="H158" s="2">
        <v>66</v>
      </c>
      <c r="I158" s="2">
        <v>25</v>
      </c>
      <c r="J158" t="str">
        <f>_xlfn.XLOOKUP(Table2[[#This Row],[Customer_ID]],Table1[Customer_ID],Table1[Customer_Name])</f>
        <v>Charlyn Sanroman</v>
      </c>
    </row>
    <row r="159" spans="1:10" x14ac:dyDescent="0.35">
      <c r="A159" s="4">
        <v>40542</v>
      </c>
      <c r="B159" s="2">
        <v>10368</v>
      </c>
      <c r="C159" s="2">
        <v>30</v>
      </c>
      <c r="D159" s="2">
        <v>21</v>
      </c>
      <c r="E159" s="2">
        <v>61</v>
      </c>
      <c r="F159" s="2">
        <v>1</v>
      </c>
      <c r="G159" s="2">
        <v>1</v>
      </c>
      <c r="H159" s="2">
        <v>12</v>
      </c>
      <c r="I159" s="2">
        <v>25</v>
      </c>
      <c r="J159" t="str">
        <f>_xlfn.XLOOKUP(Table2[[#This Row],[Customer_ID]],Table1[Customer_ID],Table1[Customer_Name])</f>
        <v>Clemencia Gwyn</v>
      </c>
    </row>
    <row r="160" spans="1:10" x14ac:dyDescent="0.35">
      <c r="A160" s="4">
        <v>40542</v>
      </c>
      <c r="B160" s="2">
        <v>10368</v>
      </c>
      <c r="C160" s="2">
        <v>450</v>
      </c>
      <c r="D160" s="2">
        <v>21</v>
      </c>
      <c r="E160" s="2">
        <v>61</v>
      </c>
      <c r="F160" s="2">
        <v>1</v>
      </c>
      <c r="G160" s="2">
        <v>3</v>
      </c>
      <c r="H160" s="2">
        <v>11</v>
      </c>
      <c r="I160" s="2">
        <v>25</v>
      </c>
      <c r="J160" t="str">
        <f>_xlfn.XLOOKUP(Table2[[#This Row],[Customer_ID]],Table1[Customer_ID],Table1[Customer_Name])</f>
        <v>Clemencia Gwyn</v>
      </c>
    </row>
    <row r="161" spans="1:10" x14ac:dyDescent="0.35">
      <c r="A161" s="4">
        <v>40542</v>
      </c>
      <c r="B161" s="2">
        <v>10368</v>
      </c>
      <c r="C161" s="2">
        <v>35</v>
      </c>
      <c r="D161" s="2">
        <v>21</v>
      </c>
      <c r="E161" s="2">
        <v>61</v>
      </c>
      <c r="F161" s="2">
        <v>1</v>
      </c>
      <c r="G161" s="2">
        <v>4</v>
      </c>
      <c r="H161" s="2">
        <v>17</v>
      </c>
      <c r="I161" s="2">
        <v>25</v>
      </c>
      <c r="J161" t="str">
        <f>_xlfn.XLOOKUP(Table2[[#This Row],[Customer_ID]],Table1[Customer_ID],Table1[Customer_Name])</f>
        <v>Clemencia Gwyn</v>
      </c>
    </row>
    <row r="162" spans="1:10" x14ac:dyDescent="0.35">
      <c r="A162" s="4">
        <v>40542</v>
      </c>
      <c r="B162" s="2">
        <v>10368</v>
      </c>
      <c r="C162" s="2">
        <v>238</v>
      </c>
      <c r="D162" s="2">
        <v>21</v>
      </c>
      <c r="E162" s="2">
        <v>61</v>
      </c>
      <c r="F162" s="2">
        <v>1</v>
      </c>
      <c r="G162" s="2">
        <v>3</v>
      </c>
      <c r="H162" s="2">
        <v>24</v>
      </c>
      <c r="I162" s="2">
        <v>25</v>
      </c>
      <c r="J162" t="str">
        <f>_xlfn.XLOOKUP(Table2[[#This Row],[Customer_ID]],Table1[Customer_ID],Table1[Customer_Name])</f>
        <v>Clemencia Gwyn</v>
      </c>
    </row>
    <row r="163" spans="1:10" x14ac:dyDescent="0.35">
      <c r="A163" s="4">
        <v>40546</v>
      </c>
      <c r="B163" s="2">
        <v>10370</v>
      </c>
      <c r="C163" s="2">
        <v>31</v>
      </c>
      <c r="D163" s="2">
        <v>23</v>
      </c>
      <c r="E163" s="2">
        <v>80</v>
      </c>
      <c r="F163" s="2">
        <v>1</v>
      </c>
      <c r="G163" s="2">
        <v>6</v>
      </c>
      <c r="H163" s="2">
        <v>8</v>
      </c>
      <c r="I163" s="2">
        <v>25</v>
      </c>
      <c r="J163" t="str">
        <f>_xlfn.XLOOKUP(Table2[[#This Row],[Customer_ID]],Table1[Customer_ID],Table1[Customer_Name])</f>
        <v>Collette Romain</v>
      </c>
    </row>
    <row r="164" spans="1:10" x14ac:dyDescent="0.35">
      <c r="A164" s="4">
        <v>40546</v>
      </c>
      <c r="B164" s="2">
        <v>10370</v>
      </c>
      <c r="C164" s="2">
        <v>11</v>
      </c>
      <c r="D164" s="2">
        <v>23</v>
      </c>
      <c r="E164" s="2">
        <v>80</v>
      </c>
      <c r="F164" s="2">
        <v>1</v>
      </c>
      <c r="G164" s="2">
        <v>1</v>
      </c>
      <c r="H164" s="2">
        <v>208</v>
      </c>
      <c r="I164" s="2">
        <v>25</v>
      </c>
      <c r="J164" t="str">
        <f>_xlfn.XLOOKUP(Table2[[#This Row],[Customer_ID]],Table1[Customer_ID],Table1[Customer_Name])</f>
        <v>Collette Romain</v>
      </c>
    </row>
    <row r="165" spans="1:10" x14ac:dyDescent="0.35">
      <c r="A165" s="4">
        <v>40546</v>
      </c>
      <c r="B165" s="2">
        <v>10370</v>
      </c>
      <c r="C165" s="2">
        <v>4</v>
      </c>
      <c r="D165" s="2">
        <v>23</v>
      </c>
      <c r="E165" s="2">
        <v>80</v>
      </c>
      <c r="F165" s="2">
        <v>1</v>
      </c>
      <c r="G165" s="2">
        <v>4</v>
      </c>
      <c r="H165" s="2">
        <v>506</v>
      </c>
      <c r="I165" s="2">
        <v>25</v>
      </c>
      <c r="J165" t="str">
        <f>_xlfn.XLOOKUP(Table2[[#This Row],[Customer_ID]],Table1[Customer_ID],Table1[Customer_Name])</f>
        <v>Collette Romain</v>
      </c>
    </row>
    <row r="166" spans="1:10" x14ac:dyDescent="0.35">
      <c r="A166" s="4">
        <v>40547</v>
      </c>
      <c r="B166" s="2">
        <v>10372</v>
      </c>
      <c r="C166" s="2">
        <v>181</v>
      </c>
      <c r="D166" s="2">
        <v>25</v>
      </c>
      <c r="E166" s="2">
        <v>67</v>
      </c>
      <c r="F166" s="2">
        <v>1</v>
      </c>
      <c r="G166" s="2">
        <v>9</v>
      </c>
      <c r="H166" s="2">
        <v>482</v>
      </c>
      <c r="I166" s="2">
        <v>25</v>
      </c>
      <c r="J166" t="str">
        <f>_xlfn.XLOOKUP(Table2[[#This Row],[Customer_ID]],Table1[Customer_ID],Table1[Customer_Name])</f>
        <v>Cristy Claire</v>
      </c>
    </row>
    <row r="167" spans="1:10" x14ac:dyDescent="0.35">
      <c r="A167" s="4">
        <v>40547</v>
      </c>
      <c r="B167" s="2">
        <v>10372</v>
      </c>
      <c r="C167" s="2">
        <v>3</v>
      </c>
      <c r="D167" s="2">
        <v>25</v>
      </c>
      <c r="E167" s="2">
        <v>66</v>
      </c>
      <c r="F167" s="2">
        <v>1</v>
      </c>
      <c r="G167" s="2">
        <v>1</v>
      </c>
      <c r="H167" s="2">
        <v>532</v>
      </c>
      <c r="I167" s="2">
        <v>25</v>
      </c>
      <c r="J167" t="str">
        <f>_xlfn.XLOOKUP(Table2[[#This Row],[Customer_ID]],Table1[Customer_ID],Table1[Customer_Name])</f>
        <v>Cristy Claire</v>
      </c>
    </row>
    <row r="168" spans="1:10" x14ac:dyDescent="0.35">
      <c r="A168" s="4">
        <v>40547</v>
      </c>
      <c r="B168" s="2">
        <v>10372</v>
      </c>
      <c r="C168" s="2">
        <v>182</v>
      </c>
      <c r="D168" s="2">
        <v>25</v>
      </c>
      <c r="E168" s="2">
        <v>67</v>
      </c>
      <c r="F168" s="2">
        <v>1</v>
      </c>
      <c r="G168" s="2">
        <v>5</v>
      </c>
      <c r="H168" s="2">
        <v>598</v>
      </c>
      <c r="I168" s="2">
        <v>25</v>
      </c>
      <c r="J168" t="str">
        <f>_xlfn.XLOOKUP(Table2[[#This Row],[Customer_ID]],Table1[Customer_ID],Table1[Customer_Name])</f>
        <v>Cristy Claire</v>
      </c>
    </row>
    <row r="169" spans="1:10" x14ac:dyDescent="0.35">
      <c r="A169" s="4">
        <v>40547</v>
      </c>
      <c r="B169" s="2">
        <v>10372</v>
      </c>
      <c r="C169" s="2">
        <v>8</v>
      </c>
      <c r="D169" s="2">
        <v>25</v>
      </c>
      <c r="E169" s="2">
        <v>66</v>
      </c>
      <c r="F169" s="2">
        <v>1</v>
      </c>
      <c r="G169" s="2">
        <v>6</v>
      </c>
      <c r="H169" s="2">
        <v>380</v>
      </c>
      <c r="I169" s="2">
        <v>25</v>
      </c>
      <c r="J169" t="str">
        <f>_xlfn.XLOOKUP(Table2[[#This Row],[Customer_ID]],Table1[Customer_ID],Table1[Customer_Name])</f>
        <v>Cristy Claire</v>
      </c>
    </row>
    <row r="170" spans="1:10" x14ac:dyDescent="0.35">
      <c r="A170" s="4">
        <v>40548</v>
      </c>
      <c r="B170" s="2">
        <v>10374</v>
      </c>
      <c r="C170" s="2">
        <v>6</v>
      </c>
      <c r="D170" s="2">
        <v>27</v>
      </c>
      <c r="E170" s="2">
        <v>55</v>
      </c>
      <c r="F170" s="2">
        <v>1</v>
      </c>
      <c r="G170" s="2">
        <v>15</v>
      </c>
      <c r="H170" s="2">
        <v>489</v>
      </c>
      <c r="I170" s="2">
        <v>25</v>
      </c>
      <c r="J170" t="str">
        <f>_xlfn.XLOOKUP(Table2[[#This Row],[Customer_ID]],Table1[Customer_ID],Table1[Customer_Name])</f>
        <v>Daniel Emmerich</v>
      </c>
    </row>
    <row r="171" spans="1:10" x14ac:dyDescent="0.35">
      <c r="A171" s="4">
        <v>40548</v>
      </c>
      <c r="B171" s="2">
        <v>10374</v>
      </c>
      <c r="C171" s="2">
        <v>5</v>
      </c>
      <c r="D171" s="2">
        <v>27</v>
      </c>
      <c r="E171" s="2">
        <v>55</v>
      </c>
      <c r="F171" s="2">
        <v>1</v>
      </c>
      <c r="G171" s="2">
        <v>2</v>
      </c>
      <c r="H171" s="2">
        <v>497</v>
      </c>
      <c r="I171" s="2">
        <v>25</v>
      </c>
      <c r="J171" t="str">
        <f>_xlfn.XLOOKUP(Table2[[#This Row],[Customer_ID]],Table1[Customer_ID],Table1[Customer_Name])</f>
        <v>Daniel Emmerich</v>
      </c>
    </row>
    <row r="172" spans="1:10" x14ac:dyDescent="0.35">
      <c r="A172" s="4">
        <v>40552</v>
      </c>
      <c r="B172" s="2">
        <v>10376</v>
      </c>
      <c r="C172" s="2">
        <v>178</v>
      </c>
      <c r="D172" s="2">
        <v>29</v>
      </c>
      <c r="E172" s="2">
        <v>81</v>
      </c>
      <c r="F172" s="2">
        <v>1</v>
      </c>
      <c r="G172" s="2">
        <v>7</v>
      </c>
      <c r="H172" s="2">
        <v>293</v>
      </c>
      <c r="I172" s="2">
        <v>25</v>
      </c>
      <c r="J172" t="str">
        <f>_xlfn.XLOOKUP(Table2[[#This Row],[Customer_ID]],Table1[Customer_ID],Table1[Customer_Name])</f>
        <v>Deneen Client</v>
      </c>
    </row>
    <row r="173" spans="1:10" x14ac:dyDescent="0.35">
      <c r="A173" s="4">
        <v>40553</v>
      </c>
      <c r="B173" s="2">
        <v>10378</v>
      </c>
      <c r="C173" s="2">
        <v>49</v>
      </c>
      <c r="D173" s="2">
        <v>31</v>
      </c>
      <c r="E173" s="2">
        <v>56</v>
      </c>
      <c r="F173" s="2">
        <v>1</v>
      </c>
      <c r="G173" s="2">
        <v>8</v>
      </c>
      <c r="H173" s="2">
        <v>30</v>
      </c>
      <c r="I173" s="2">
        <v>25</v>
      </c>
      <c r="J173" t="str">
        <f>_xlfn.XLOOKUP(Table2[[#This Row],[Customer_ID]],Table1[Customer_ID],Table1[Customer_Name])</f>
        <v>Dona Kinkade</v>
      </c>
    </row>
    <row r="174" spans="1:10" x14ac:dyDescent="0.35">
      <c r="A174" s="4">
        <v>40555</v>
      </c>
      <c r="B174" s="2">
        <v>10380</v>
      </c>
      <c r="C174" s="2">
        <v>124</v>
      </c>
      <c r="D174" s="2">
        <v>33</v>
      </c>
      <c r="E174" s="2">
        <v>29</v>
      </c>
      <c r="F174" s="2">
        <v>1</v>
      </c>
      <c r="G174" s="2">
        <v>9</v>
      </c>
      <c r="H174" s="2">
        <v>522</v>
      </c>
      <c r="I174" s="2">
        <v>25</v>
      </c>
      <c r="J174" t="str">
        <f>_xlfn.XLOOKUP(Table2[[#This Row],[Customer_ID]],Table1[Customer_ID],Table1[Customer_Name])</f>
        <v>Douglas Swinson</v>
      </c>
    </row>
    <row r="175" spans="1:10" x14ac:dyDescent="0.35">
      <c r="A175" s="4">
        <v>40555</v>
      </c>
      <c r="B175" s="2">
        <v>10380</v>
      </c>
      <c r="C175" s="2">
        <v>120</v>
      </c>
      <c r="D175" s="2">
        <v>33</v>
      </c>
      <c r="E175" s="2">
        <v>29</v>
      </c>
      <c r="F175" s="2">
        <v>1</v>
      </c>
      <c r="G175" s="2">
        <v>3</v>
      </c>
      <c r="H175" s="2">
        <v>372</v>
      </c>
      <c r="I175" s="2">
        <v>25</v>
      </c>
      <c r="J175" t="str">
        <f>_xlfn.XLOOKUP(Table2[[#This Row],[Customer_ID]],Table1[Customer_ID],Table1[Customer_Name])</f>
        <v>Douglas Swinson</v>
      </c>
    </row>
    <row r="176" spans="1:10" x14ac:dyDescent="0.35">
      <c r="A176" s="4">
        <v>40555</v>
      </c>
      <c r="B176" s="2">
        <v>10380</v>
      </c>
      <c r="C176" s="2">
        <v>121</v>
      </c>
      <c r="D176" s="2">
        <v>33</v>
      </c>
      <c r="E176" s="2">
        <v>29</v>
      </c>
      <c r="F176" s="2">
        <v>1</v>
      </c>
      <c r="G176" s="2">
        <v>1</v>
      </c>
      <c r="H176" s="2">
        <v>763</v>
      </c>
      <c r="I176" s="2">
        <v>25</v>
      </c>
      <c r="J176" t="str">
        <f>_xlfn.XLOOKUP(Table2[[#This Row],[Customer_ID]],Table1[Customer_ID],Table1[Customer_Name])</f>
        <v>Douglas Swinson</v>
      </c>
    </row>
    <row r="177" spans="1:10" x14ac:dyDescent="0.35">
      <c r="A177" s="4">
        <v>40555</v>
      </c>
      <c r="B177" s="2">
        <v>10380</v>
      </c>
      <c r="C177" s="2">
        <v>122</v>
      </c>
      <c r="D177" s="2">
        <v>33</v>
      </c>
      <c r="E177" s="2">
        <v>29</v>
      </c>
      <c r="F177" s="2">
        <v>1</v>
      </c>
      <c r="G177" s="2">
        <v>4</v>
      </c>
      <c r="H177" s="2">
        <v>433</v>
      </c>
      <c r="I177" s="2">
        <v>25</v>
      </c>
      <c r="J177" t="str">
        <f>_xlfn.XLOOKUP(Table2[[#This Row],[Customer_ID]],Table1[Customer_ID],Table1[Customer_Name])</f>
        <v>Douglas Swinson</v>
      </c>
    </row>
    <row r="178" spans="1:10" x14ac:dyDescent="0.35">
      <c r="A178" s="4">
        <v>40556</v>
      </c>
      <c r="B178" s="2">
        <v>10382</v>
      </c>
      <c r="C178" s="2">
        <v>10</v>
      </c>
      <c r="D178" s="2">
        <v>35</v>
      </c>
      <c r="E178" s="2">
        <v>5</v>
      </c>
      <c r="F178" s="2">
        <v>1</v>
      </c>
      <c r="G178" s="2">
        <v>3</v>
      </c>
      <c r="H178" s="2">
        <v>236</v>
      </c>
      <c r="I178" s="2">
        <v>25</v>
      </c>
      <c r="J178" t="str">
        <f>_xlfn.XLOOKUP(Table2[[#This Row],[Customer_ID]],Table1[Customer_ID],Table1[Customer_Name])</f>
        <v>Dung Do</v>
      </c>
    </row>
    <row r="179" spans="1:10" x14ac:dyDescent="0.35">
      <c r="A179" s="4">
        <v>40556</v>
      </c>
      <c r="B179" s="2">
        <v>10382</v>
      </c>
      <c r="C179" s="2">
        <v>85</v>
      </c>
      <c r="D179" s="2">
        <v>35</v>
      </c>
      <c r="E179" s="2">
        <v>4</v>
      </c>
      <c r="F179" s="2">
        <v>1</v>
      </c>
      <c r="G179" s="2">
        <v>9</v>
      </c>
      <c r="H179" s="2">
        <v>4</v>
      </c>
      <c r="I179" s="2">
        <v>25</v>
      </c>
      <c r="J179" t="str">
        <f>_xlfn.XLOOKUP(Table2[[#This Row],[Customer_ID]],Table1[Customer_ID],Table1[Customer_Name])</f>
        <v>Dung Do</v>
      </c>
    </row>
    <row r="180" spans="1:10" x14ac:dyDescent="0.35">
      <c r="A180" s="4">
        <v>40556</v>
      </c>
      <c r="B180" s="2">
        <v>10382</v>
      </c>
      <c r="C180" s="2">
        <v>80</v>
      </c>
      <c r="D180" s="2">
        <v>35</v>
      </c>
      <c r="E180" s="2">
        <v>4</v>
      </c>
      <c r="F180" s="2">
        <v>1</v>
      </c>
      <c r="G180" s="2">
        <v>5</v>
      </c>
      <c r="H180" s="2">
        <v>23</v>
      </c>
      <c r="I180" s="2">
        <v>25</v>
      </c>
      <c r="J180" t="str">
        <f>_xlfn.XLOOKUP(Table2[[#This Row],[Customer_ID]],Table1[Customer_ID],Table1[Customer_Name])</f>
        <v>Dung Do</v>
      </c>
    </row>
    <row r="181" spans="1:10" x14ac:dyDescent="0.35">
      <c r="A181" s="4">
        <v>40556</v>
      </c>
      <c r="B181" s="2">
        <v>10382</v>
      </c>
      <c r="C181" s="2">
        <v>71</v>
      </c>
      <c r="D181" s="2">
        <v>35</v>
      </c>
      <c r="E181" s="2">
        <v>4</v>
      </c>
      <c r="F181" s="2">
        <v>1</v>
      </c>
      <c r="G181" s="2">
        <v>2</v>
      </c>
      <c r="H181" s="2">
        <v>12</v>
      </c>
      <c r="I181" s="2">
        <v>25</v>
      </c>
      <c r="J181" t="str">
        <f>_xlfn.XLOOKUP(Table2[[#This Row],[Customer_ID]],Table1[Customer_ID],Table1[Customer_Name])</f>
        <v>Dung Do</v>
      </c>
    </row>
    <row r="182" spans="1:10" x14ac:dyDescent="0.35">
      <c r="A182" s="4">
        <v>40556</v>
      </c>
      <c r="B182" s="2">
        <v>10382</v>
      </c>
      <c r="C182" s="2">
        <v>123</v>
      </c>
      <c r="D182" s="2">
        <v>35</v>
      </c>
      <c r="E182" s="2">
        <v>5</v>
      </c>
      <c r="F182" s="2">
        <v>1</v>
      </c>
      <c r="G182" s="2">
        <v>5</v>
      </c>
      <c r="H182" s="2">
        <v>1043</v>
      </c>
      <c r="I182" s="2">
        <v>25</v>
      </c>
      <c r="J182" t="str">
        <f>_xlfn.XLOOKUP(Table2[[#This Row],[Customer_ID]],Table1[Customer_ID],Table1[Customer_Name])</f>
        <v>Dung Do</v>
      </c>
    </row>
    <row r="183" spans="1:10" x14ac:dyDescent="0.35">
      <c r="A183" s="4">
        <v>40559</v>
      </c>
      <c r="B183" s="2">
        <v>10384</v>
      </c>
      <c r="C183" s="2">
        <v>81</v>
      </c>
      <c r="D183" s="2">
        <v>37</v>
      </c>
      <c r="E183" s="2">
        <v>86</v>
      </c>
      <c r="F183" s="2">
        <v>1</v>
      </c>
      <c r="G183" s="2">
        <v>8</v>
      </c>
      <c r="H183" s="2">
        <v>8</v>
      </c>
      <c r="I183" s="2">
        <v>25</v>
      </c>
      <c r="J183" t="str">
        <f>_xlfn.XLOOKUP(Table2[[#This Row],[Customer_ID]],Table1[Customer_ID],Table1[Customer_Name])</f>
        <v>Edda Mcquillen</v>
      </c>
    </row>
    <row r="184" spans="1:10" x14ac:dyDescent="0.35">
      <c r="A184" s="4">
        <v>40559</v>
      </c>
      <c r="B184" s="2">
        <v>10384</v>
      </c>
      <c r="C184" s="2">
        <v>76</v>
      </c>
      <c r="D184" s="2">
        <v>37</v>
      </c>
      <c r="E184" s="2">
        <v>86</v>
      </c>
      <c r="F184" s="2">
        <v>1</v>
      </c>
      <c r="G184" s="2">
        <v>3</v>
      </c>
      <c r="H184" s="2">
        <v>15</v>
      </c>
      <c r="I184" s="2">
        <v>25</v>
      </c>
      <c r="J184" t="str">
        <f>_xlfn.XLOOKUP(Table2[[#This Row],[Customer_ID]],Table1[Customer_ID],Table1[Customer_Name])</f>
        <v>Edda Mcquillen</v>
      </c>
    </row>
    <row r="185" spans="1:10" x14ac:dyDescent="0.35">
      <c r="A185" s="4">
        <v>40561</v>
      </c>
      <c r="B185" s="2">
        <v>10386</v>
      </c>
      <c r="C185" s="2">
        <v>234</v>
      </c>
      <c r="D185" s="2">
        <v>39</v>
      </c>
      <c r="E185" s="2">
        <v>57</v>
      </c>
      <c r="F185" s="2">
        <v>1</v>
      </c>
      <c r="G185" s="2">
        <v>1</v>
      </c>
      <c r="H185" s="2">
        <v>27</v>
      </c>
      <c r="I185" s="2">
        <v>25</v>
      </c>
      <c r="J185" t="str">
        <f>_xlfn.XLOOKUP(Table2[[#This Row],[Customer_ID]],Table1[Customer_ID],Table1[Customer_Name])</f>
        <v>Edythe Manney</v>
      </c>
    </row>
    <row r="186" spans="1:10" x14ac:dyDescent="0.35">
      <c r="A186" s="4">
        <v>40561</v>
      </c>
      <c r="B186" s="2">
        <v>10386</v>
      </c>
      <c r="C186" s="2">
        <v>320</v>
      </c>
      <c r="D186" s="2">
        <v>39</v>
      </c>
      <c r="E186" s="2">
        <v>57</v>
      </c>
      <c r="F186" s="2">
        <v>1</v>
      </c>
      <c r="G186" s="2">
        <v>2</v>
      </c>
      <c r="H186" s="2">
        <v>2</v>
      </c>
      <c r="I186" s="2">
        <v>25</v>
      </c>
      <c r="J186" t="str">
        <f>_xlfn.XLOOKUP(Table2[[#This Row],[Customer_ID]],Table1[Customer_ID],Table1[Customer_Name])</f>
        <v>Edythe Manney</v>
      </c>
    </row>
    <row r="187" spans="1:10" x14ac:dyDescent="0.35">
      <c r="A187" s="4">
        <v>40562</v>
      </c>
      <c r="B187" s="2">
        <v>10388</v>
      </c>
      <c r="C187" s="2">
        <v>404</v>
      </c>
      <c r="D187" s="2">
        <v>41</v>
      </c>
      <c r="E187" s="2">
        <v>50</v>
      </c>
      <c r="F187" s="2">
        <v>1</v>
      </c>
      <c r="G187" s="2">
        <v>5</v>
      </c>
      <c r="H187" s="2">
        <v>20</v>
      </c>
      <c r="I187" s="2">
        <v>25</v>
      </c>
      <c r="J187" t="str">
        <f>_xlfn.XLOOKUP(Table2[[#This Row],[Customer_ID]],Table1[Customer_ID],Table1[Customer_Name])</f>
        <v>Elicia Rea</v>
      </c>
    </row>
    <row r="188" spans="1:10" x14ac:dyDescent="0.35">
      <c r="A188" s="4">
        <v>40562</v>
      </c>
      <c r="B188" s="2">
        <v>10388</v>
      </c>
      <c r="C188" s="2">
        <v>415</v>
      </c>
      <c r="D188" s="2">
        <v>41</v>
      </c>
      <c r="E188" s="2">
        <v>50</v>
      </c>
      <c r="F188" s="2">
        <v>1</v>
      </c>
      <c r="G188" s="2">
        <v>9</v>
      </c>
      <c r="H188" s="2">
        <v>20</v>
      </c>
      <c r="I188" s="2">
        <v>25</v>
      </c>
      <c r="J188" t="str">
        <f>_xlfn.XLOOKUP(Table2[[#This Row],[Customer_ID]],Table1[Customer_ID],Table1[Customer_Name])</f>
        <v>Elicia Rea</v>
      </c>
    </row>
    <row r="189" spans="1:10" x14ac:dyDescent="0.35">
      <c r="A189" s="4">
        <v>40562</v>
      </c>
      <c r="B189" s="2">
        <v>10388</v>
      </c>
      <c r="C189" s="2">
        <v>447</v>
      </c>
      <c r="D189" s="2">
        <v>41</v>
      </c>
      <c r="E189" s="2">
        <v>50</v>
      </c>
      <c r="F189" s="2">
        <v>1</v>
      </c>
      <c r="G189" s="2">
        <v>3</v>
      </c>
      <c r="H189" s="2">
        <v>38</v>
      </c>
      <c r="I189" s="2">
        <v>25</v>
      </c>
      <c r="J189" t="str">
        <f>_xlfn.XLOOKUP(Table2[[#This Row],[Customer_ID]],Table1[Customer_ID],Table1[Customer_Name])</f>
        <v>Elicia Rea</v>
      </c>
    </row>
    <row r="190" spans="1:10" x14ac:dyDescent="0.35">
      <c r="A190" s="4">
        <v>40566</v>
      </c>
      <c r="B190" s="2">
        <v>10390</v>
      </c>
      <c r="C190" s="2">
        <v>322</v>
      </c>
      <c r="D190" s="2">
        <v>43</v>
      </c>
      <c r="E190" s="2">
        <v>17</v>
      </c>
      <c r="F190" s="2">
        <v>1</v>
      </c>
      <c r="G190" s="2">
        <v>3</v>
      </c>
      <c r="H190" s="2">
        <v>2</v>
      </c>
      <c r="I190" s="2">
        <v>25</v>
      </c>
      <c r="J190" t="str">
        <f>_xlfn.XLOOKUP(Table2[[#This Row],[Customer_ID]],Table1[Customer_ID],Table1[Customer_Name])</f>
        <v>Eric Eshelman</v>
      </c>
    </row>
    <row r="191" spans="1:10" x14ac:dyDescent="0.35">
      <c r="A191" s="4">
        <v>40566</v>
      </c>
      <c r="B191" s="2">
        <v>10390</v>
      </c>
      <c r="C191" s="2">
        <v>156</v>
      </c>
      <c r="D191" s="2">
        <v>43</v>
      </c>
      <c r="E191" s="2">
        <v>17</v>
      </c>
      <c r="F191" s="2">
        <v>1</v>
      </c>
      <c r="G191" s="2">
        <v>6</v>
      </c>
      <c r="H191" s="2">
        <v>726</v>
      </c>
      <c r="I191" s="2">
        <v>25</v>
      </c>
      <c r="J191" t="str">
        <f>_xlfn.XLOOKUP(Table2[[#This Row],[Customer_ID]],Table1[Customer_ID],Table1[Customer_Name])</f>
        <v>Eric Eshelman</v>
      </c>
    </row>
    <row r="192" spans="1:10" x14ac:dyDescent="0.35">
      <c r="A192" s="4">
        <v>40566</v>
      </c>
      <c r="B192" s="2">
        <v>10390</v>
      </c>
      <c r="C192" s="2">
        <v>159</v>
      </c>
      <c r="D192" s="2">
        <v>43</v>
      </c>
      <c r="E192" s="2">
        <v>17</v>
      </c>
      <c r="F192" s="2">
        <v>1</v>
      </c>
      <c r="G192" s="2">
        <v>2</v>
      </c>
      <c r="H192" s="2">
        <v>1104</v>
      </c>
      <c r="I192" s="2">
        <v>25</v>
      </c>
      <c r="J192" t="str">
        <f>_xlfn.XLOOKUP(Table2[[#This Row],[Customer_ID]],Table1[Customer_ID],Table1[Customer_Name])</f>
        <v>Eric Eshelman</v>
      </c>
    </row>
    <row r="193" spans="1:10" x14ac:dyDescent="0.35">
      <c r="A193" s="4">
        <v>40566</v>
      </c>
      <c r="B193" s="2">
        <v>10390</v>
      </c>
      <c r="C193" s="2">
        <v>316</v>
      </c>
      <c r="D193" s="2">
        <v>43</v>
      </c>
      <c r="E193" s="2">
        <v>17</v>
      </c>
      <c r="F193" s="2">
        <v>1</v>
      </c>
      <c r="G193" s="2">
        <v>1</v>
      </c>
      <c r="H193" s="2">
        <v>13</v>
      </c>
      <c r="I193" s="2">
        <v>25</v>
      </c>
      <c r="J193" t="str">
        <f>_xlfn.XLOOKUP(Table2[[#This Row],[Customer_ID]],Table1[Customer_ID],Table1[Customer_Name])</f>
        <v>Eric Eshelman</v>
      </c>
    </row>
    <row r="194" spans="1:10" x14ac:dyDescent="0.35">
      <c r="A194" s="4">
        <v>40567</v>
      </c>
      <c r="B194" s="2">
        <v>10392</v>
      </c>
      <c r="C194" s="2">
        <v>56</v>
      </c>
      <c r="D194" s="2">
        <v>45</v>
      </c>
      <c r="E194" s="2">
        <v>45</v>
      </c>
      <c r="F194" s="2">
        <v>1</v>
      </c>
      <c r="G194" s="2">
        <v>2</v>
      </c>
      <c r="H194" s="2">
        <v>19</v>
      </c>
      <c r="I194" s="2">
        <v>25</v>
      </c>
      <c r="J194" t="str">
        <f>_xlfn.XLOOKUP(Table2[[#This Row],[Customer_ID]],Table1[Customer_ID],Table1[Customer_Name])</f>
        <v>Everette Ellery</v>
      </c>
    </row>
    <row r="195" spans="1:10" x14ac:dyDescent="0.35">
      <c r="A195" s="4">
        <v>40568</v>
      </c>
      <c r="B195" s="2">
        <v>10394</v>
      </c>
      <c r="C195" s="2">
        <v>140</v>
      </c>
      <c r="D195" s="2">
        <v>47</v>
      </c>
      <c r="E195" s="2">
        <v>1</v>
      </c>
      <c r="F195" s="2">
        <v>1</v>
      </c>
      <c r="G195" s="2">
        <v>6</v>
      </c>
      <c r="H195" s="2">
        <v>95</v>
      </c>
      <c r="I195" s="2">
        <v>25</v>
      </c>
      <c r="J195" t="str">
        <f>_xlfn.XLOOKUP(Table2[[#This Row],[Customer_ID]],Table1[Customer_ID],Table1[Customer_Name])</f>
        <v>Fe Finchum</v>
      </c>
    </row>
    <row r="196" spans="1:10" x14ac:dyDescent="0.35">
      <c r="A196" s="4">
        <v>40568</v>
      </c>
      <c r="B196" s="2">
        <v>10394</v>
      </c>
      <c r="C196" s="2">
        <v>138</v>
      </c>
      <c r="D196" s="2">
        <v>47</v>
      </c>
      <c r="E196" s="2">
        <v>1</v>
      </c>
      <c r="F196" s="2">
        <v>1</v>
      </c>
      <c r="G196" s="2">
        <v>3</v>
      </c>
      <c r="H196" s="2">
        <v>126</v>
      </c>
      <c r="I196" s="2">
        <v>25</v>
      </c>
      <c r="J196" t="str">
        <f>_xlfn.XLOOKUP(Table2[[#This Row],[Customer_ID]],Table1[Customer_ID],Table1[Customer_Name])</f>
        <v>Fe Finchum</v>
      </c>
    </row>
    <row r="197" spans="1:10" x14ac:dyDescent="0.35">
      <c r="A197" s="4">
        <v>40570</v>
      </c>
      <c r="B197" s="2">
        <v>10396</v>
      </c>
      <c r="C197" s="2">
        <v>176</v>
      </c>
      <c r="D197" s="2">
        <v>49</v>
      </c>
      <c r="E197" s="2">
        <v>52</v>
      </c>
      <c r="F197" s="2">
        <v>1</v>
      </c>
      <c r="G197" s="2">
        <v>5</v>
      </c>
      <c r="H197" s="2">
        <v>329</v>
      </c>
      <c r="I197" s="2">
        <v>25</v>
      </c>
      <c r="J197" t="str">
        <f>_xlfn.XLOOKUP(Table2[[#This Row],[Customer_ID]],Table1[Customer_ID],Table1[Customer_Name])</f>
        <v>Geraldo Stickney</v>
      </c>
    </row>
    <row r="198" spans="1:10" x14ac:dyDescent="0.35">
      <c r="A198" s="4">
        <v>40570</v>
      </c>
      <c r="B198" s="2">
        <v>10396</v>
      </c>
      <c r="C198" s="2">
        <v>170</v>
      </c>
      <c r="D198" s="2">
        <v>49</v>
      </c>
      <c r="E198" s="2">
        <v>52</v>
      </c>
      <c r="F198" s="2">
        <v>1</v>
      </c>
      <c r="G198" s="2">
        <v>1</v>
      </c>
      <c r="H198" s="2">
        <v>656</v>
      </c>
      <c r="I198" s="2">
        <v>25</v>
      </c>
      <c r="J198" t="str">
        <f>_xlfn.XLOOKUP(Table2[[#This Row],[Customer_ID]],Table1[Customer_ID],Table1[Customer_Name])</f>
        <v>Geraldo Stickney</v>
      </c>
    </row>
    <row r="199" spans="1:10" x14ac:dyDescent="0.35">
      <c r="A199" s="4">
        <v>40570</v>
      </c>
      <c r="B199" s="2">
        <v>10396</v>
      </c>
      <c r="C199" s="2">
        <v>166</v>
      </c>
      <c r="D199" s="2">
        <v>49</v>
      </c>
      <c r="E199" s="2">
        <v>52</v>
      </c>
      <c r="F199" s="2">
        <v>1</v>
      </c>
      <c r="G199" s="2">
        <v>3</v>
      </c>
      <c r="H199" s="2">
        <v>332</v>
      </c>
      <c r="I199" s="2">
        <v>25</v>
      </c>
      <c r="J199" t="str">
        <f>_xlfn.XLOOKUP(Table2[[#This Row],[Customer_ID]],Table1[Customer_ID],Table1[Customer_Name])</f>
        <v>Geraldo Stickney</v>
      </c>
    </row>
    <row r="200" spans="1:10" x14ac:dyDescent="0.35">
      <c r="A200" s="4">
        <v>40573</v>
      </c>
      <c r="B200" s="2">
        <v>10398</v>
      </c>
      <c r="C200" s="2">
        <v>164</v>
      </c>
      <c r="D200" s="2">
        <v>51</v>
      </c>
      <c r="E200" s="2">
        <v>23</v>
      </c>
      <c r="F200" s="2">
        <v>1</v>
      </c>
      <c r="G200" s="2">
        <v>1</v>
      </c>
      <c r="H200" s="2">
        <v>763</v>
      </c>
      <c r="I200" s="2">
        <v>25</v>
      </c>
      <c r="J200" t="str">
        <f>_xlfn.XLOOKUP(Table2[[#This Row],[Customer_ID]],Table1[Customer_ID],Table1[Customer_Name])</f>
        <v>Gladis Hasan</v>
      </c>
    </row>
    <row r="201" spans="1:10" x14ac:dyDescent="0.35">
      <c r="A201" s="4">
        <v>40573</v>
      </c>
      <c r="B201" s="2">
        <v>10398</v>
      </c>
      <c r="C201" s="2">
        <v>43</v>
      </c>
      <c r="D201" s="2">
        <v>51</v>
      </c>
      <c r="E201" s="2">
        <v>23</v>
      </c>
      <c r="F201" s="2">
        <v>1</v>
      </c>
      <c r="G201" s="2">
        <v>8</v>
      </c>
      <c r="H201" s="2">
        <v>41</v>
      </c>
      <c r="I201" s="2">
        <v>25</v>
      </c>
      <c r="J201" t="str">
        <f>_xlfn.XLOOKUP(Table2[[#This Row],[Customer_ID]],Table1[Customer_ID],Table1[Customer_Name])</f>
        <v>Gladis Hasan</v>
      </c>
    </row>
    <row r="202" spans="1:10" x14ac:dyDescent="0.35">
      <c r="A202" s="4">
        <v>40575</v>
      </c>
      <c r="B202" s="2">
        <v>10400</v>
      </c>
      <c r="C202" s="2">
        <v>87</v>
      </c>
      <c r="D202" s="2">
        <v>53</v>
      </c>
      <c r="E202" s="2">
        <v>42</v>
      </c>
      <c r="F202" s="2">
        <v>1</v>
      </c>
      <c r="G202" s="2">
        <v>4</v>
      </c>
      <c r="H202" s="2">
        <v>11</v>
      </c>
      <c r="I202" s="2">
        <v>25</v>
      </c>
      <c r="J202" t="str">
        <f>_xlfn.XLOOKUP(Table2[[#This Row],[Customer_ID]],Table1[Customer_ID],Table1[Customer_Name])</f>
        <v>Gracia Jelks</v>
      </c>
    </row>
    <row r="203" spans="1:10" x14ac:dyDescent="0.35">
      <c r="A203" s="4">
        <v>40575</v>
      </c>
      <c r="B203" s="2">
        <v>10400</v>
      </c>
      <c r="C203" s="2">
        <v>194</v>
      </c>
      <c r="D203" s="2">
        <v>53</v>
      </c>
      <c r="E203" s="2">
        <v>42</v>
      </c>
      <c r="F203" s="2">
        <v>1</v>
      </c>
      <c r="G203" s="2">
        <v>4</v>
      </c>
      <c r="H203" s="2">
        <v>13</v>
      </c>
      <c r="I203" s="2">
        <v>25</v>
      </c>
      <c r="J203" t="str">
        <f>_xlfn.XLOOKUP(Table2[[#This Row],[Customer_ID]],Table1[Customer_ID],Table1[Customer_Name])</f>
        <v>Gracia Jelks</v>
      </c>
    </row>
    <row r="204" spans="1:10" x14ac:dyDescent="0.35">
      <c r="A204" s="4">
        <v>40575</v>
      </c>
      <c r="B204" s="2">
        <v>10400</v>
      </c>
      <c r="C204" s="2">
        <v>326</v>
      </c>
      <c r="D204" s="2">
        <v>53</v>
      </c>
      <c r="E204" s="2">
        <v>42</v>
      </c>
      <c r="F204" s="2">
        <v>1</v>
      </c>
      <c r="G204" s="2">
        <v>4</v>
      </c>
      <c r="H204" s="2">
        <v>44</v>
      </c>
      <c r="I204" s="2">
        <v>25</v>
      </c>
      <c r="J204" t="str">
        <f>_xlfn.XLOOKUP(Table2[[#This Row],[Customer_ID]],Table1[Customer_ID],Table1[Customer_Name])</f>
        <v>Gracia Jelks</v>
      </c>
    </row>
    <row r="205" spans="1:10" x14ac:dyDescent="0.35">
      <c r="A205" s="4">
        <v>40576</v>
      </c>
      <c r="B205" s="2">
        <v>10402</v>
      </c>
      <c r="C205" s="2">
        <v>400</v>
      </c>
      <c r="D205" s="2">
        <v>55</v>
      </c>
      <c r="E205" s="2">
        <v>53</v>
      </c>
      <c r="F205" s="2">
        <v>1</v>
      </c>
      <c r="G205" s="2">
        <v>8</v>
      </c>
      <c r="H205" s="2">
        <v>15</v>
      </c>
      <c r="I205" s="2">
        <v>25</v>
      </c>
      <c r="J205" t="str">
        <f>_xlfn.XLOOKUP(Table2[[#This Row],[Customer_ID]],Table1[Customer_ID],Table1[Customer_Name])</f>
        <v>Harrison Hugh</v>
      </c>
    </row>
    <row r="206" spans="1:10" x14ac:dyDescent="0.35">
      <c r="A206" s="4">
        <v>40576</v>
      </c>
      <c r="B206" s="2">
        <v>10402</v>
      </c>
      <c r="C206" s="2">
        <v>266</v>
      </c>
      <c r="D206" s="2">
        <v>55</v>
      </c>
      <c r="E206" s="2">
        <v>53</v>
      </c>
      <c r="F206" s="2">
        <v>1</v>
      </c>
      <c r="G206" s="2">
        <v>15</v>
      </c>
      <c r="H206" s="2">
        <v>14</v>
      </c>
      <c r="I206" s="2">
        <v>25</v>
      </c>
      <c r="J206" t="str">
        <f>_xlfn.XLOOKUP(Table2[[#This Row],[Customer_ID]],Table1[Customer_ID],Table1[Customer_Name])</f>
        <v>Harrison Hugh</v>
      </c>
    </row>
    <row r="207" spans="1:10" x14ac:dyDescent="0.35">
      <c r="A207" s="4">
        <v>40577</v>
      </c>
      <c r="B207" s="2">
        <v>10404</v>
      </c>
      <c r="C207" s="2">
        <v>86</v>
      </c>
      <c r="D207" s="2">
        <v>57</v>
      </c>
      <c r="E207" s="2">
        <v>27</v>
      </c>
      <c r="F207" s="2">
        <v>1</v>
      </c>
      <c r="G207" s="2">
        <v>3</v>
      </c>
      <c r="H207" s="2">
        <v>22</v>
      </c>
      <c r="I207" s="2">
        <v>25</v>
      </c>
      <c r="J207" t="str">
        <f>_xlfn.XLOOKUP(Table2[[#This Row],[Customer_ID]],Table1[Customer_ID],Table1[Customer_Name])</f>
        <v>Ina Iversen</v>
      </c>
    </row>
    <row r="208" spans="1:10" x14ac:dyDescent="0.35">
      <c r="A208" s="4">
        <v>40577</v>
      </c>
      <c r="B208" s="2">
        <v>10404</v>
      </c>
      <c r="C208" s="2">
        <v>283</v>
      </c>
      <c r="D208" s="2">
        <v>57</v>
      </c>
      <c r="E208" s="2">
        <v>27</v>
      </c>
      <c r="F208" s="2">
        <v>1</v>
      </c>
      <c r="G208" s="2">
        <v>1</v>
      </c>
      <c r="H208" s="2">
        <v>6</v>
      </c>
      <c r="I208" s="2">
        <v>25</v>
      </c>
      <c r="J208" t="str">
        <f>_xlfn.XLOOKUP(Table2[[#This Row],[Customer_ID]],Table1[Customer_ID],Table1[Customer_Name])</f>
        <v>Ina Iversen</v>
      </c>
    </row>
    <row r="209" spans="1:10" x14ac:dyDescent="0.35">
      <c r="A209" s="4">
        <v>40577</v>
      </c>
      <c r="B209" s="2">
        <v>10404</v>
      </c>
      <c r="C209" s="2">
        <v>75</v>
      </c>
      <c r="D209" s="2">
        <v>57</v>
      </c>
      <c r="E209" s="2">
        <v>27</v>
      </c>
      <c r="F209" s="2">
        <v>1</v>
      </c>
      <c r="G209" s="2">
        <v>5</v>
      </c>
      <c r="H209" s="2">
        <v>12</v>
      </c>
      <c r="I209" s="2">
        <v>25</v>
      </c>
      <c r="J209" t="str">
        <f>_xlfn.XLOOKUP(Table2[[#This Row],[Customer_ID]],Table1[Customer_ID],Table1[Customer_Name])</f>
        <v>Ina Iversen</v>
      </c>
    </row>
    <row r="210" spans="1:10" x14ac:dyDescent="0.35">
      <c r="A210" s="4">
        <v>40581</v>
      </c>
      <c r="B210" s="2">
        <v>10406</v>
      </c>
      <c r="C210" s="2">
        <v>74</v>
      </c>
      <c r="D210" s="2">
        <v>59</v>
      </c>
      <c r="E210" s="2">
        <v>77</v>
      </c>
      <c r="F210" s="2">
        <v>1</v>
      </c>
      <c r="G210" s="2">
        <v>1</v>
      </c>
      <c r="H210" s="2">
        <v>6</v>
      </c>
      <c r="I210" s="2">
        <v>25</v>
      </c>
      <c r="J210" t="str">
        <f>_xlfn.XLOOKUP(Table2[[#This Row],[Customer_ID]],Table1[Customer_ID],Table1[Customer_Name])</f>
        <v>Janella Vallo</v>
      </c>
    </row>
    <row r="211" spans="1:10" x14ac:dyDescent="0.35">
      <c r="A211" s="4">
        <v>40581</v>
      </c>
      <c r="B211" s="2">
        <v>10406</v>
      </c>
      <c r="C211" s="2">
        <v>358</v>
      </c>
      <c r="D211" s="2">
        <v>59</v>
      </c>
      <c r="E211" s="2">
        <v>77</v>
      </c>
      <c r="F211" s="2">
        <v>1</v>
      </c>
      <c r="G211" s="2">
        <v>2</v>
      </c>
      <c r="H211" s="2">
        <v>26</v>
      </c>
      <c r="I211" s="2">
        <v>25</v>
      </c>
      <c r="J211" t="str">
        <f>_xlfn.XLOOKUP(Table2[[#This Row],[Customer_ID]],Table1[Customer_ID],Table1[Customer_Name])</f>
        <v>Janella Vallo</v>
      </c>
    </row>
    <row r="212" spans="1:10" x14ac:dyDescent="0.35">
      <c r="A212" s="4">
        <v>40581</v>
      </c>
      <c r="B212" s="2">
        <v>10406</v>
      </c>
      <c r="C212" s="2">
        <v>359</v>
      </c>
      <c r="D212" s="2">
        <v>59</v>
      </c>
      <c r="E212" s="2">
        <v>77</v>
      </c>
      <c r="F212" s="2">
        <v>1</v>
      </c>
      <c r="G212" s="2">
        <v>3</v>
      </c>
      <c r="H212" s="2">
        <v>90</v>
      </c>
      <c r="I212" s="2">
        <v>25</v>
      </c>
      <c r="J212" t="str">
        <f>_xlfn.XLOOKUP(Table2[[#This Row],[Customer_ID]],Table1[Customer_ID],Table1[Customer_Name])</f>
        <v>Janella Vallo</v>
      </c>
    </row>
    <row r="213" spans="1:10" x14ac:dyDescent="0.35">
      <c r="A213" s="4">
        <v>40581</v>
      </c>
      <c r="B213" s="2">
        <v>10406</v>
      </c>
      <c r="C213" s="2">
        <v>79</v>
      </c>
      <c r="D213" s="2">
        <v>59</v>
      </c>
      <c r="E213" s="2">
        <v>77</v>
      </c>
      <c r="F213" s="2">
        <v>1</v>
      </c>
      <c r="G213" s="2">
        <v>1</v>
      </c>
      <c r="H213" s="2">
        <v>5</v>
      </c>
      <c r="I213" s="2">
        <v>25</v>
      </c>
      <c r="J213" t="str">
        <f>_xlfn.XLOOKUP(Table2[[#This Row],[Customer_ID]],Table1[Customer_ID],Table1[Customer_Name])</f>
        <v>Janella Vallo</v>
      </c>
    </row>
    <row r="214" spans="1:10" x14ac:dyDescent="0.35">
      <c r="A214" s="4">
        <v>40581</v>
      </c>
      <c r="B214" s="2">
        <v>10406</v>
      </c>
      <c r="C214" s="2">
        <v>357</v>
      </c>
      <c r="D214" s="2">
        <v>59</v>
      </c>
      <c r="E214" s="2">
        <v>77</v>
      </c>
      <c r="F214" s="2">
        <v>1</v>
      </c>
      <c r="G214" s="2">
        <v>2</v>
      </c>
      <c r="H214" s="2">
        <v>33</v>
      </c>
      <c r="I214" s="2">
        <v>25</v>
      </c>
      <c r="J214" t="str">
        <f>_xlfn.XLOOKUP(Table2[[#This Row],[Customer_ID]],Table1[Customer_ID],Table1[Customer_Name])</f>
        <v>Janella Vallo</v>
      </c>
    </row>
    <row r="215" spans="1:10" x14ac:dyDescent="0.35">
      <c r="A215" s="4">
        <v>40582</v>
      </c>
      <c r="B215" s="2">
        <v>10408</v>
      </c>
      <c r="C215" s="2">
        <v>221</v>
      </c>
      <c r="D215" s="2">
        <v>61</v>
      </c>
      <c r="E215" s="2">
        <v>23</v>
      </c>
      <c r="F215" s="2">
        <v>1</v>
      </c>
      <c r="G215" s="2">
        <v>1</v>
      </c>
      <c r="H215" s="2">
        <v>4</v>
      </c>
      <c r="I215" s="2">
        <v>25</v>
      </c>
      <c r="J215" t="str">
        <f>_xlfn.XLOOKUP(Table2[[#This Row],[Customer_ID]],Table1[Customer_ID],Table1[Customer_Name])</f>
        <v>Jeanelle Joynes</v>
      </c>
    </row>
    <row r="216" spans="1:10" x14ac:dyDescent="0.35">
      <c r="A216" s="4">
        <v>40582</v>
      </c>
      <c r="B216" s="2">
        <v>10408</v>
      </c>
      <c r="C216" s="2">
        <v>216</v>
      </c>
      <c r="D216" s="2">
        <v>61</v>
      </c>
      <c r="E216" s="2">
        <v>23</v>
      </c>
      <c r="F216" s="2">
        <v>1</v>
      </c>
      <c r="G216" s="2">
        <v>1</v>
      </c>
      <c r="H216" s="2">
        <v>4</v>
      </c>
      <c r="I216" s="2">
        <v>25</v>
      </c>
      <c r="J216" t="str">
        <f>_xlfn.XLOOKUP(Table2[[#This Row],[Customer_ID]],Table1[Customer_ID],Table1[Customer_Name])</f>
        <v>Jeanelle Joynes</v>
      </c>
    </row>
    <row r="217" spans="1:10" x14ac:dyDescent="0.35">
      <c r="A217" s="4">
        <v>40582</v>
      </c>
      <c r="B217" s="2">
        <v>10408</v>
      </c>
      <c r="C217" s="2">
        <v>311</v>
      </c>
      <c r="D217" s="2">
        <v>61</v>
      </c>
      <c r="E217" s="2">
        <v>23</v>
      </c>
      <c r="F217" s="2">
        <v>1</v>
      </c>
      <c r="G217" s="2">
        <v>3</v>
      </c>
      <c r="H217" s="2">
        <v>6</v>
      </c>
      <c r="I217" s="2">
        <v>25</v>
      </c>
      <c r="J217" t="str">
        <f>_xlfn.XLOOKUP(Table2[[#This Row],[Customer_ID]],Table1[Customer_ID],Table1[Customer_Name])</f>
        <v>Jeanelle Joynes</v>
      </c>
    </row>
    <row r="218" spans="1:10" x14ac:dyDescent="0.35">
      <c r="A218" s="4">
        <v>40584</v>
      </c>
      <c r="B218" s="2">
        <v>10410</v>
      </c>
      <c r="C218" s="2">
        <v>245</v>
      </c>
      <c r="D218" s="2">
        <v>63</v>
      </c>
      <c r="E218" s="2">
        <v>33</v>
      </c>
      <c r="F218" s="2">
        <v>1</v>
      </c>
      <c r="G218" s="2">
        <v>2</v>
      </c>
      <c r="H218" s="2">
        <v>2</v>
      </c>
      <c r="I218" s="2">
        <v>25</v>
      </c>
      <c r="J218" t="str">
        <f>_xlfn.XLOOKUP(Table2[[#This Row],[Customer_ID]],Table1[Customer_ID],Table1[Customer_Name])</f>
        <v>Johnathon Tucker</v>
      </c>
    </row>
    <row r="219" spans="1:10" x14ac:dyDescent="0.35">
      <c r="A219" s="4">
        <v>40584</v>
      </c>
      <c r="B219" s="2">
        <v>10410</v>
      </c>
      <c r="C219" s="2">
        <v>248</v>
      </c>
      <c r="D219" s="2">
        <v>63</v>
      </c>
      <c r="E219" s="2">
        <v>33</v>
      </c>
      <c r="F219" s="2">
        <v>1</v>
      </c>
      <c r="G219" s="2">
        <v>2</v>
      </c>
      <c r="H219" s="2">
        <v>4</v>
      </c>
      <c r="I219" s="2">
        <v>25</v>
      </c>
      <c r="J219" t="str">
        <f>_xlfn.XLOOKUP(Table2[[#This Row],[Customer_ID]],Table1[Customer_ID],Table1[Customer_Name])</f>
        <v>Johnathon Tucker</v>
      </c>
    </row>
    <row r="220" spans="1:10" x14ac:dyDescent="0.35">
      <c r="A220" s="4">
        <v>40587</v>
      </c>
      <c r="B220" s="2">
        <v>10412</v>
      </c>
      <c r="C220" s="2">
        <v>372</v>
      </c>
      <c r="D220" s="2">
        <v>65</v>
      </c>
      <c r="E220" s="2">
        <v>31</v>
      </c>
      <c r="F220" s="2">
        <v>1</v>
      </c>
      <c r="G220" s="2">
        <v>1</v>
      </c>
      <c r="H220" s="2">
        <v>9</v>
      </c>
      <c r="I220" s="2">
        <v>25</v>
      </c>
      <c r="J220" t="str">
        <f>_xlfn.XLOOKUP(Table2[[#This Row],[Customer_ID]],Table1[Customer_ID],Table1[Customer_Name])</f>
        <v>Judie Sawicki</v>
      </c>
    </row>
    <row r="221" spans="1:10" x14ac:dyDescent="0.35">
      <c r="A221" s="4">
        <v>40588</v>
      </c>
      <c r="B221" s="2">
        <v>10414</v>
      </c>
      <c r="C221" s="2">
        <v>390</v>
      </c>
      <c r="D221" s="2">
        <v>67</v>
      </c>
      <c r="F221" s="2">
        <v>1</v>
      </c>
      <c r="G221" s="2">
        <v>2</v>
      </c>
      <c r="H221" s="2">
        <v>11</v>
      </c>
      <c r="I221" s="2">
        <v>25</v>
      </c>
      <c r="J221" t="str">
        <f>_xlfn.XLOOKUP(Table2[[#This Row],[Customer_ID]],Table1[Customer_ID],Table1[Customer_Name])</f>
        <v>Kaitlyn Killian</v>
      </c>
    </row>
    <row r="222" spans="1:10" x14ac:dyDescent="0.35">
      <c r="A222" s="4">
        <v>40588</v>
      </c>
      <c r="B222" s="2">
        <v>10414</v>
      </c>
      <c r="C222" s="2">
        <v>389</v>
      </c>
      <c r="D222" s="2">
        <v>67</v>
      </c>
      <c r="F222" s="2">
        <v>1</v>
      </c>
      <c r="G222" s="2">
        <v>1</v>
      </c>
      <c r="H222" s="2">
        <v>8</v>
      </c>
      <c r="I222" s="2">
        <v>25</v>
      </c>
      <c r="J222" t="str">
        <f>_xlfn.XLOOKUP(Table2[[#This Row],[Customer_ID]],Table1[Customer_ID],Table1[Customer_Name])</f>
        <v>Kaitlyn Killian</v>
      </c>
    </row>
    <row r="223" spans="1:10" x14ac:dyDescent="0.35">
      <c r="A223" s="4">
        <v>40590</v>
      </c>
      <c r="B223" s="2">
        <v>10416</v>
      </c>
      <c r="C223" s="2">
        <v>451</v>
      </c>
      <c r="D223" s="2">
        <v>69</v>
      </c>
      <c r="F223" s="2">
        <v>1</v>
      </c>
      <c r="G223" s="2">
        <v>3</v>
      </c>
      <c r="H223" s="2">
        <v>19</v>
      </c>
      <c r="I223" s="2">
        <v>25</v>
      </c>
      <c r="J223" t="str">
        <f>_xlfn.XLOOKUP(Table2[[#This Row],[Customer_ID]],Table1[Customer_ID],Table1[Customer_Name])</f>
        <v>Kareem Koser</v>
      </c>
    </row>
    <row r="224" spans="1:10" x14ac:dyDescent="0.35">
      <c r="A224" s="4">
        <v>40590</v>
      </c>
      <c r="B224" s="2">
        <v>10416</v>
      </c>
      <c r="C224" s="2">
        <v>444</v>
      </c>
      <c r="D224" s="2">
        <v>69</v>
      </c>
      <c r="F224" s="2">
        <v>1</v>
      </c>
      <c r="G224" s="2">
        <v>2</v>
      </c>
      <c r="H224" s="2">
        <v>35</v>
      </c>
      <c r="I224" s="2">
        <v>25</v>
      </c>
      <c r="J224" t="str">
        <f>_xlfn.XLOOKUP(Table2[[#This Row],[Customer_ID]],Table1[Customer_ID],Table1[Customer_Name])</f>
        <v>Kareem Koser</v>
      </c>
    </row>
    <row r="225" spans="1:10" x14ac:dyDescent="0.35">
      <c r="A225" s="4">
        <v>40590</v>
      </c>
      <c r="B225" s="2">
        <v>10416</v>
      </c>
      <c r="C225" s="2">
        <v>453</v>
      </c>
      <c r="D225" s="2">
        <v>69</v>
      </c>
      <c r="F225" s="2">
        <v>1</v>
      </c>
      <c r="G225" s="2">
        <v>1</v>
      </c>
      <c r="H225" s="2">
        <v>19</v>
      </c>
      <c r="I225" s="2">
        <v>25</v>
      </c>
      <c r="J225" t="str">
        <f>_xlfn.XLOOKUP(Table2[[#This Row],[Customer_ID]],Table1[Customer_ID],Table1[Customer_Name])</f>
        <v>Kareem Koser</v>
      </c>
    </row>
    <row r="226" spans="1:10" x14ac:dyDescent="0.35">
      <c r="A226" s="4">
        <v>40591</v>
      </c>
      <c r="B226" s="2">
        <v>10418</v>
      </c>
      <c r="C226" s="2">
        <v>432</v>
      </c>
      <c r="D226" s="2">
        <v>71</v>
      </c>
      <c r="F226" s="2">
        <v>1</v>
      </c>
      <c r="G226" s="2">
        <v>5</v>
      </c>
      <c r="H226" s="2">
        <v>50</v>
      </c>
      <c r="I226" s="2">
        <v>25</v>
      </c>
      <c r="J226" t="str">
        <f>_xlfn.XLOOKUP(Table2[[#This Row],[Customer_ID]],Table1[Customer_ID],Table1[Customer_Name])</f>
        <v>Karissa Kircher</v>
      </c>
    </row>
    <row r="227" spans="1:10" x14ac:dyDescent="0.35">
      <c r="A227" s="4">
        <v>40591</v>
      </c>
      <c r="B227" s="2">
        <v>10418</v>
      </c>
      <c r="C227" s="2">
        <v>456</v>
      </c>
      <c r="D227" s="2">
        <v>71</v>
      </c>
      <c r="F227" s="2">
        <v>1</v>
      </c>
      <c r="G227" s="2">
        <v>7</v>
      </c>
      <c r="H227" s="2">
        <v>16</v>
      </c>
      <c r="I227" s="2">
        <v>25</v>
      </c>
      <c r="J227" t="str">
        <f>_xlfn.XLOOKUP(Table2[[#This Row],[Customer_ID]],Table1[Customer_ID],Table1[Customer_Name])</f>
        <v>Karissa Kircher</v>
      </c>
    </row>
    <row r="228" spans="1:10" x14ac:dyDescent="0.35">
      <c r="A228" s="4">
        <v>40591</v>
      </c>
      <c r="B228" s="2">
        <v>10418</v>
      </c>
      <c r="C228" s="2">
        <v>431</v>
      </c>
      <c r="D228" s="2">
        <v>71</v>
      </c>
      <c r="F228" s="2">
        <v>1</v>
      </c>
      <c r="G228" s="2">
        <v>3</v>
      </c>
      <c r="H228" s="2">
        <v>15</v>
      </c>
      <c r="I228" s="2">
        <v>25</v>
      </c>
      <c r="J228" t="str">
        <f>_xlfn.XLOOKUP(Table2[[#This Row],[Customer_ID]],Table1[Customer_ID],Table1[Customer_Name])</f>
        <v>Karissa Kircher</v>
      </c>
    </row>
    <row r="229" spans="1:10" x14ac:dyDescent="0.35">
      <c r="A229" s="4">
        <v>40591</v>
      </c>
      <c r="B229" s="2">
        <v>10418</v>
      </c>
      <c r="C229" s="2">
        <v>38</v>
      </c>
      <c r="D229" s="2">
        <v>71</v>
      </c>
      <c r="F229" s="2">
        <v>1</v>
      </c>
      <c r="G229" s="2">
        <v>1</v>
      </c>
      <c r="H229" s="2">
        <v>8</v>
      </c>
      <c r="I229" s="2">
        <v>25</v>
      </c>
      <c r="J229" t="str">
        <f>_xlfn.XLOOKUP(Table2[[#This Row],[Customer_ID]],Table1[Customer_ID],Table1[Customer_Name])</f>
        <v>Karissa Kircher</v>
      </c>
    </row>
    <row r="230" spans="1:10" x14ac:dyDescent="0.35">
      <c r="A230" s="4">
        <v>40595</v>
      </c>
      <c r="B230" s="2">
        <v>10420</v>
      </c>
      <c r="C230" s="2">
        <v>414</v>
      </c>
      <c r="D230" s="2">
        <v>73</v>
      </c>
      <c r="F230" s="2">
        <v>1</v>
      </c>
      <c r="G230" s="2">
        <v>3</v>
      </c>
      <c r="H230" s="2">
        <v>16</v>
      </c>
      <c r="I230" s="2">
        <v>25</v>
      </c>
      <c r="J230" t="str">
        <f>_xlfn.XLOOKUP(Table2[[#This Row],[Customer_ID]],Table1[Customer_ID],Table1[Customer_Name])</f>
        <v>Katharine Pearcy</v>
      </c>
    </row>
    <row r="231" spans="1:10" x14ac:dyDescent="0.35">
      <c r="A231" s="4">
        <v>40595</v>
      </c>
      <c r="B231" s="2">
        <v>10420</v>
      </c>
      <c r="C231" s="2">
        <v>426</v>
      </c>
      <c r="D231" s="2">
        <v>73</v>
      </c>
      <c r="F231" s="2">
        <v>1</v>
      </c>
      <c r="G231" s="2">
        <v>2</v>
      </c>
      <c r="H231" s="2">
        <v>7</v>
      </c>
      <c r="I231" s="2">
        <v>25</v>
      </c>
      <c r="J231" t="str">
        <f>_xlfn.XLOOKUP(Table2[[#This Row],[Customer_ID]],Table1[Customer_ID],Table1[Customer_Name])</f>
        <v>Katharine Pearcy</v>
      </c>
    </row>
    <row r="232" spans="1:10" x14ac:dyDescent="0.35">
      <c r="A232" s="4">
        <v>40595</v>
      </c>
      <c r="B232" s="2">
        <v>10420</v>
      </c>
      <c r="C232" s="2">
        <v>413</v>
      </c>
      <c r="D232" s="2">
        <v>73</v>
      </c>
      <c r="F232" s="2">
        <v>1</v>
      </c>
      <c r="G232" s="2">
        <v>4</v>
      </c>
      <c r="H232" s="2">
        <v>20</v>
      </c>
      <c r="I232" s="2">
        <v>25</v>
      </c>
      <c r="J232" t="str">
        <f>_xlfn.XLOOKUP(Table2[[#This Row],[Customer_ID]],Table1[Customer_ID],Table1[Customer_Name])</f>
        <v>Katharine Pearcy</v>
      </c>
    </row>
    <row r="233" spans="1:10" x14ac:dyDescent="0.35">
      <c r="A233" s="4">
        <v>40595</v>
      </c>
      <c r="B233" s="2">
        <v>10420</v>
      </c>
      <c r="C233" s="2">
        <v>292</v>
      </c>
      <c r="D233" s="2">
        <v>73</v>
      </c>
      <c r="F233" s="2">
        <v>1</v>
      </c>
      <c r="G233" s="2">
        <v>8</v>
      </c>
      <c r="H233" s="2">
        <v>4</v>
      </c>
      <c r="I233" s="2">
        <v>25</v>
      </c>
      <c r="J233" t="str">
        <f>_xlfn.XLOOKUP(Table2[[#This Row],[Customer_ID]],Table1[Customer_ID],Table1[Customer_Name])</f>
        <v>Katharine Pearcy</v>
      </c>
    </row>
    <row r="234" spans="1:10" x14ac:dyDescent="0.35">
      <c r="A234" s="4">
        <v>40596</v>
      </c>
      <c r="B234" s="2">
        <v>10422</v>
      </c>
      <c r="C234" s="2">
        <v>399</v>
      </c>
      <c r="D234" s="2">
        <v>75</v>
      </c>
      <c r="F234" s="2">
        <v>1</v>
      </c>
      <c r="G234" s="2">
        <v>4</v>
      </c>
      <c r="H234" s="2">
        <v>8</v>
      </c>
      <c r="I234" s="2">
        <v>25</v>
      </c>
      <c r="J234" t="str">
        <f>_xlfn.XLOOKUP(Table2[[#This Row],[Customer_ID]],Table1[Customer_ID],Table1[Customer_Name])</f>
        <v>Keisha Koh</v>
      </c>
    </row>
    <row r="235" spans="1:10" x14ac:dyDescent="0.35">
      <c r="A235" s="4">
        <v>40597</v>
      </c>
      <c r="B235" s="2">
        <v>10424</v>
      </c>
      <c r="C235" s="2">
        <v>397</v>
      </c>
      <c r="D235" s="2">
        <v>77</v>
      </c>
      <c r="F235" s="2">
        <v>1</v>
      </c>
      <c r="G235" s="2">
        <v>6</v>
      </c>
      <c r="H235" s="2">
        <v>12</v>
      </c>
      <c r="I235" s="2">
        <v>25</v>
      </c>
      <c r="J235" t="str">
        <f>_xlfn.XLOOKUP(Table2[[#This Row],[Customer_ID]],Table1[Customer_ID],Table1[Customer_Name])</f>
        <v>Kyla Danek</v>
      </c>
    </row>
    <row r="236" spans="1:10" x14ac:dyDescent="0.35">
      <c r="A236" s="4">
        <v>40597</v>
      </c>
      <c r="B236" s="2">
        <v>10424</v>
      </c>
      <c r="C236" s="2">
        <v>392</v>
      </c>
      <c r="D236" s="2">
        <v>77</v>
      </c>
      <c r="F236" s="2">
        <v>1</v>
      </c>
      <c r="G236" s="2">
        <v>1</v>
      </c>
      <c r="H236" s="2">
        <v>6</v>
      </c>
      <c r="I236" s="2">
        <v>25</v>
      </c>
      <c r="J236" t="str">
        <f>_xlfn.XLOOKUP(Table2[[#This Row],[Customer_ID]],Table1[Customer_ID],Table1[Customer_Name])</f>
        <v>Kyla Danek</v>
      </c>
    </row>
    <row r="237" spans="1:10" x14ac:dyDescent="0.35">
      <c r="A237" s="4">
        <v>40597</v>
      </c>
      <c r="B237" s="2">
        <v>10424</v>
      </c>
      <c r="C237" s="2">
        <v>350</v>
      </c>
      <c r="D237" s="2">
        <v>77</v>
      </c>
      <c r="F237" s="2">
        <v>1</v>
      </c>
      <c r="G237" s="2">
        <v>1</v>
      </c>
      <c r="H237" s="2">
        <v>59</v>
      </c>
      <c r="I237" s="2">
        <v>25</v>
      </c>
      <c r="J237" t="str">
        <f>_xlfn.XLOOKUP(Table2[[#This Row],[Customer_ID]],Table1[Customer_ID],Table1[Customer_Name])</f>
        <v>Kyla Danek</v>
      </c>
    </row>
    <row r="238" spans="1:10" x14ac:dyDescent="0.35">
      <c r="A238" s="4">
        <v>40601</v>
      </c>
      <c r="B238" s="2">
        <v>10426</v>
      </c>
      <c r="C238" s="2">
        <v>185</v>
      </c>
      <c r="D238" s="2">
        <v>79</v>
      </c>
      <c r="F238" s="2">
        <v>1</v>
      </c>
      <c r="G238" s="2">
        <v>5</v>
      </c>
      <c r="H238" s="2">
        <v>505</v>
      </c>
      <c r="I238" s="2">
        <v>25</v>
      </c>
      <c r="J238" t="str">
        <f>_xlfn.XLOOKUP(Table2[[#This Row],[Customer_ID]],Table1[Customer_ID],Table1[Customer_Name])</f>
        <v>Lala Ladue</v>
      </c>
    </row>
    <row r="239" spans="1:10" x14ac:dyDescent="0.35">
      <c r="A239" s="4">
        <v>40601</v>
      </c>
      <c r="B239" s="2">
        <v>10426</v>
      </c>
      <c r="C239" s="2">
        <v>186</v>
      </c>
      <c r="D239" s="2">
        <v>79</v>
      </c>
      <c r="F239" s="2">
        <v>1</v>
      </c>
      <c r="G239" s="2">
        <v>2</v>
      </c>
      <c r="H239" s="2">
        <v>548</v>
      </c>
      <c r="I239" s="2">
        <v>25</v>
      </c>
      <c r="J239" t="str">
        <f>_xlfn.XLOOKUP(Table2[[#This Row],[Customer_ID]],Table1[Customer_ID],Table1[Customer_Name])</f>
        <v>Lala Ladue</v>
      </c>
    </row>
    <row r="240" spans="1:10" x14ac:dyDescent="0.35">
      <c r="A240" s="4">
        <v>40602</v>
      </c>
      <c r="B240" s="2">
        <v>10428</v>
      </c>
      <c r="C240" s="2">
        <v>28</v>
      </c>
      <c r="D240" s="2">
        <v>81</v>
      </c>
      <c r="F240" s="2">
        <v>1</v>
      </c>
      <c r="G240" s="2">
        <v>6</v>
      </c>
      <c r="H240" s="2">
        <v>421</v>
      </c>
      <c r="I240" s="2">
        <v>25</v>
      </c>
      <c r="J240" t="str">
        <f>_xlfn.XLOOKUP(Table2[[#This Row],[Customer_ID]],Table1[Customer_ID],Table1[Customer_Name])</f>
        <v>Leanne Lockhart</v>
      </c>
    </row>
    <row r="241" spans="1:10" x14ac:dyDescent="0.35">
      <c r="A241" s="4">
        <v>40604</v>
      </c>
      <c r="B241" s="2">
        <v>10430</v>
      </c>
      <c r="C241" s="2">
        <v>118</v>
      </c>
      <c r="D241" s="2">
        <v>83</v>
      </c>
      <c r="F241" s="2">
        <v>1</v>
      </c>
      <c r="G241" s="2">
        <v>7</v>
      </c>
      <c r="H241" s="2">
        <v>983</v>
      </c>
      <c r="I241" s="2">
        <v>25</v>
      </c>
      <c r="J241" t="str">
        <f>_xlfn.XLOOKUP(Table2[[#This Row],[Customer_ID]],Table1[Customer_ID],Table1[Customer_Name])</f>
        <v>Lily Weatherford</v>
      </c>
    </row>
    <row r="242" spans="1:10" x14ac:dyDescent="0.35">
      <c r="A242" s="4">
        <v>40604</v>
      </c>
      <c r="B242" s="2">
        <v>10430</v>
      </c>
      <c r="C242" s="2">
        <v>115</v>
      </c>
      <c r="D242" s="2">
        <v>83</v>
      </c>
      <c r="F242" s="2">
        <v>1</v>
      </c>
      <c r="G242" s="2">
        <v>4</v>
      </c>
      <c r="H242" s="2">
        <v>2882</v>
      </c>
      <c r="I242" s="2">
        <v>25</v>
      </c>
      <c r="J242" t="str">
        <f>_xlfn.XLOOKUP(Table2[[#This Row],[Customer_ID]],Table1[Customer_ID],Table1[Customer_Name])</f>
        <v>Lily Weatherford</v>
      </c>
    </row>
    <row r="243" spans="1:10" x14ac:dyDescent="0.35">
      <c r="A243" s="4">
        <v>40604</v>
      </c>
      <c r="B243" s="2">
        <v>10430</v>
      </c>
      <c r="C243" s="2">
        <v>119</v>
      </c>
      <c r="D243" s="2">
        <v>83</v>
      </c>
      <c r="F243" s="2">
        <v>1</v>
      </c>
      <c r="G243" s="2">
        <v>5</v>
      </c>
      <c r="H243" s="2">
        <v>1302</v>
      </c>
      <c r="I243" s="2">
        <v>25</v>
      </c>
      <c r="J243" t="str">
        <f>_xlfn.XLOOKUP(Table2[[#This Row],[Customer_ID]],Table1[Customer_ID],Table1[Customer_Name])</f>
        <v>Lily Weatherford</v>
      </c>
    </row>
    <row r="244" spans="1:10" x14ac:dyDescent="0.35">
      <c r="A244" s="4">
        <v>40604</v>
      </c>
      <c r="B244" s="2">
        <v>10430</v>
      </c>
      <c r="C244" s="2">
        <v>113</v>
      </c>
      <c r="D244" s="2">
        <v>83</v>
      </c>
      <c r="F244" s="2">
        <v>1</v>
      </c>
      <c r="G244" s="2">
        <v>5</v>
      </c>
      <c r="H244" s="2">
        <v>1301</v>
      </c>
      <c r="I244" s="2">
        <v>25</v>
      </c>
      <c r="J244" t="str">
        <f>_xlfn.XLOOKUP(Table2[[#This Row],[Customer_ID]],Table1[Customer_ID],Table1[Customer_Name])</f>
        <v>Lily Weatherford</v>
      </c>
    </row>
    <row r="245" spans="1:10" x14ac:dyDescent="0.35">
      <c r="A245" s="4">
        <v>40605</v>
      </c>
      <c r="B245" s="2">
        <v>10432</v>
      </c>
      <c r="C245" s="2">
        <v>33</v>
      </c>
      <c r="D245" s="2">
        <v>85</v>
      </c>
      <c r="F245" s="2">
        <v>1</v>
      </c>
      <c r="G245" s="2">
        <v>7</v>
      </c>
      <c r="H245" s="2">
        <v>32</v>
      </c>
      <c r="I245" s="2">
        <v>25</v>
      </c>
      <c r="J245" t="str">
        <f>_xlfn.XLOOKUP(Table2[[#This Row],[Customer_ID]],Table1[Customer_ID],Table1[Customer_Name])</f>
        <v>Lissette Layton</v>
      </c>
    </row>
    <row r="246" spans="1:10" x14ac:dyDescent="0.35">
      <c r="A246" s="4">
        <v>40605</v>
      </c>
      <c r="B246" s="2">
        <v>10432</v>
      </c>
      <c r="C246" s="2">
        <v>69</v>
      </c>
      <c r="D246" s="2">
        <v>85</v>
      </c>
      <c r="F246" s="2">
        <v>1</v>
      </c>
      <c r="G246" s="2">
        <v>8</v>
      </c>
      <c r="H246" s="2">
        <v>21</v>
      </c>
      <c r="I246" s="2">
        <v>25</v>
      </c>
      <c r="J246" t="str">
        <f>_xlfn.XLOOKUP(Table2[[#This Row],[Customer_ID]],Table1[Customer_ID],Table1[Customer_Name])</f>
        <v>Lissette Layton</v>
      </c>
    </row>
    <row r="247" spans="1:10" x14ac:dyDescent="0.35">
      <c r="A247" s="4">
        <v>40608</v>
      </c>
      <c r="B247" s="2">
        <v>10434</v>
      </c>
      <c r="C247" s="2">
        <v>313</v>
      </c>
      <c r="D247" s="2">
        <v>87</v>
      </c>
      <c r="F247" s="2">
        <v>1</v>
      </c>
      <c r="G247" s="2">
        <v>1</v>
      </c>
      <c r="H247" s="2">
        <v>5</v>
      </c>
      <c r="I247" s="2">
        <v>25</v>
      </c>
      <c r="J247" t="str">
        <f>_xlfn.XLOOKUP(Table2[[#This Row],[Customer_ID]],Table1[Customer_ID],Table1[Customer_Name])</f>
        <v>Lynnette Loyola</v>
      </c>
    </row>
    <row r="248" spans="1:10" x14ac:dyDescent="0.35">
      <c r="A248" s="4">
        <v>40608</v>
      </c>
      <c r="B248" s="2">
        <v>10434</v>
      </c>
      <c r="C248" s="2">
        <v>200</v>
      </c>
      <c r="D248" s="2">
        <v>87</v>
      </c>
      <c r="F248" s="2">
        <v>1</v>
      </c>
      <c r="G248" s="2">
        <v>6</v>
      </c>
      <c r="H248" s="2">
        <v>4</v>
      </c>
      <c r="I248" s="2">
        <v>25</v>
      </c>
      <c r="J248" t="str">
        <f>_xlfn.XLOOKUP(Table2[[#This Row],[Customer_ID]],Table1[Customer_ID],Table1[Customer_Name])</f>
        <v>Lynnette Loyola</v>
      </c>
    </row>
    <row r="249" spans="1:10" x14ac:dyDescent="0.35">
      <c r="A249" s="4">
        <v>40610</v>
      </c>
      <c r="B249" s="2">
        <v>10436</v>
      </c>
      <c r="C249" s="2">
        <v>401</v>
      </c>
      <c r="D249" s="2">
        <v>89</v>
      </c>
      <c r="F249" s="2">
        <v>1</v>
      </c>
      <c r="G249" s="2">
        <v>5</v>
      </c>
      <c r="H249" s="2">
        <v>13</v>
      </c>
      <c r="I249" s="2">
        <v>25</v>
      </c>
      <c r="J249" t="str">
        <f>_xlfn.XLOOKUP(Table2[[#This Row],[Customer_ID]],Table1[Customer_ID],Table1[Customer_Name])</f>
        <v>Masako Moler</v>
      </c>
    </row>
    <row r="250" spans="1:10" x14ac:dyDescent="0.35">
      <c r="A250" s="4">
        <v>40610</v>
      </c>
      <c r="B250" s="2">
        <v>10436</v>
      </c>
      <c r="C250" s="2">
        <v>263</v>
      </c>
      <c r="D250" s="2">
        <v>89</v>
      </c>
      <c r="F250" s="2">
        <v>1</v>
      </c>
      <c r="G250" s="2">
        <v>2</v>
      </c>
      <c r="H250" s="2">
        <v>3</v>
      </c>
      <c r="I250" s="2">
        <v>25</v>
      </c>
      <c r="J250" t="str">
        <f>_xlfn.XLOOKUP(Table2[[#This Row],[Customer_ID]],Table1[Customer_ID],Table1[Customer_Name])</f>
        <v>Masako Moler</v>
      </c>
    </row>
    <row r="251" spans="1:10" x14ac:dyDescent="0.35">
      <c r="A251" s="4">
        <v>40610</v>
      </c>
      <c r="B251" s="2">
        <v>10436</v>
      </c>
      <c r="C251" s="2">
        <v>46</v>
      </c>
      <c r="D251" s="2">
        <v>89</v>
      </c>
      <c r="F251" s="2">
        <v>1</v>
      </c>
      <c r="G251" s="2">
        <v>8</v>
      </c>
      <c r="H251" s="2">
        <v>33</v>
      </c>
      <c r="I251" s="2">
        <v>25</v>
      </c>
      <c r="J251" t="str">
        <f>_xlfn.XLOOKUP(Table2[[#This Row],[Customer_ID]],Table1[Customer_ID],Table1[Customer_Name])</f>
        <v>Masako Moler</v>
      </c>
    </row>
    <row r="252" spans="1:10" x14ac:dyDescent="0.35">
      <c r="A252" s="4">
        <v>40610</v>
      </c>
      <c r="B252" s="2">
        <v>10436</v>
      </c>
      <c r="C252" s="2">
        <v>349</v>
      </c>
      <c r="D252" s="2">
        <v>89</v>
      </c>
      <c r="F252" s="2">
        <v>1</v>
      </c>
      <c r="G252" s="2">
        <v>3</v>
      </c>
      <c r="H252" s="2">
        <v>7</v>
      </c>
      <c r="I252" s="2">
        <v>25</v>
      </c>
      <c r="J252" t="str">
        <f>_xlfn.XLOOKUP(Table2[[#This Row],[Customer_ID]],Table1[Customer_ID],Table1[Customer_Name])</f>
        <v>Masako Moler</v>
      </c>
    </row>
    <row r="253" spans="1:10" x14ac:dyDescent="0.35">
      <c r="A253" s="4">
        <v>40611</v>
      </c>
      <c r="B253" s="2">
        <v>10438</v>
      </c>
      <c r="C253" s="2">
        <v>44</v>
      </c>
      <c r="D253" s="2">
        <v>91</v>
      </c>
      <c r="F253" s="2">
        <v>1</v>
      </c>
      <c r="G253" s="2">
        <v>6</v>
      </c>
      <c r="H253" s="2">
        <v>14</v>
      </c>
      <c r="I253" s="2">
        <v>25</v>
      </c>
      <c r="J253" t="str">
        <f>_xlfn.XLOOKUP(Table2[[#This Row],[Customer_ID]],Table1[Customer_ID],Table1[Customer_Name])</f>
        <v>Maybelle Bolt</v>
      </c>
    </row>
    <row r="254" spans="1:10" x14ac:dyDescent="0.35">
      <c r="A254" s="4">
        <v>40611</v>
      </c>
      <c r="B254" s="2">
        <v>10438</v>
      </c>
      <c r="C254" s="2">
        <v>355</v>
      </c>
      <c r="D254" s="2">
        <v>91</v>
      </c>
      <c r="F254" s="2">
        <v>1</v>
      </c>
      <c r="G254" s="2">
        <v>1</v>
      </c>
      <c r="H254" s="2">
        <v>62</v>
      </c>
      <c r="I254" s="2">
        <v>25</v>
      </c>
      <c r="J254" t="str">
        <f>_xlfn.XLOOKUP(Table2[[#This Row],[Customer_ID]],Table1[Customer_ID],Table1[Customer_Name])</f>
        <v>Maybelle Bolt</v>
      </c>
    </row>
    <row r="255" spans="1:10" x14ac:dyDescent="0.35">
      <c r="A255" s="4">
        <v>40611</v>
      </c>
      <c r="B255" s="2">
        <v>10438</v>
      </c>
      <c r="C255" s="2">
        <v>323</v>
      </c>
      <c r="D255" s="2">
        <v>91</v>
      </c>
      <c r="F255" s="2">
        <v>1</v>
      </c>
      <c r="G255" s="2">
        <v>5</v>
      </c>
      <c r="H255" s="2">
        <v>7</v>
      </c>
      <c r="I255" s="2">
        <v>25</v>
      </c>
      <c r="J255" t="str">
        <f>_xlfn.XLOOKUP(Table2[[#This Row],[Customer_ID]],Table1[Customer_ID],Table1[Customer_Name])</f>
        <v>Maybelle Bolt</v>
      </c>
    </row>
    <row r="256" spans="1:10" x14ac:dyDescent="0.35">
      <c r="A256" s="4">
        <v>40615</v>
      </c>
      <c r="B256" s="2">
        <v>10440</v>
      </c>
      <c r="C256" s="2">
        <v>151</v>
      </c>
      <c r="D256" s="2">
        <v>93</v>
      </c>
      <c r="F256" s="2">
        <v>1</v>
      </c>
      <c r="G256" s="2">
        <v>2</v>
      </c>
      <c r="H256" s="2">
        <v>526</v>
      </c>
      <c r="I256" s="2">
        <v>25</v>
      </c>
      <c r="J256" t="str">
        <f>_xlfn.XLOOKUP(Table2[[#This Row],[Customer_ID]],Table1[Customer_ID],Table1[Customer_Name])</f>
        <v>Mervin Chiodo</v>
      </c>
    </row>
    <row r="257" spans="1:10" x14ac:dyDescent="0.35">
      <c r="A257" s="4">
        <v>40615</v>
      </c>
      <c r="B257" s="2">
        <v>10440</v>
      </c>
      <c r="C257" s="2">
        <v>162</v>
      </c>
      <c r="D257" s="2">
        <v>93</v>
      </c>
      <c r="F257" s="2">
        <v>1</v>
      </c>
      <c r="G257" s="2">
        <v>4</v>
      </c>
      <c r="H257" s="2">
        <v>3992</v>
      </c>
      <c r="I257" s="2">
        <v>25</v>
      </c>
      <c r="J257" t="str">
        <f>_xlfn.XLOOKUP(Table2[[#This Row],[Customer_ID]],Table1[Customer_ID],Table1[Customer_Name])</f>
        <v>Mervin Chiodo</v>
      </c>
    </row>
    <row r="258" spans="1:10" x14ac:dyDescent="0.35">
      <c r="A258" s="4">
        <v>40615</v>
      </c>
      <c r="B258" s="2">
        <v>10440</v>
      </c>
      <c r="C258" s="2">
        <v>147</v>
      </c>
      <c r="D258" s="2">
        <v>93</v>
      </c>
      <c r="F258" s="2">
        <v>1</v>
      </c>
      <c r="G258" s="2">
        <v>3</v>
      </c>
      <c r="H258" s="2">
        <v>576</v>
      </c>
      <c r="I258" s="2">
        <v>25</v>
      </c>
      <c r="J258" t="str">
        <f>_xlfn.XLOOKUP(Table2[[#This Row],[Customer_ID]],Table1[Customer_ID],Table1[Customer_Name])</f>
        <v>Mervin Chiodo</v>
      </c>
    </row>
    <row r="259" spans="1:10" x14ac:dyDescent="0.35">
      <c r="A259" s="4">
        <v>40615</v>
      </c>
      <c r="B259" s="2">
        <v>10440</v>
      </c>
      <c r="C259" s="2">
        <v>67</v>
      </c>
      <c r="D259" s="2">
        <v>93</v>
      </c>
      <c r="F259" s="2">
        <v>1</v>
      </c>
      <c r="G259" s="2">
        <v>6</v>
      </c>
      <c r="H259" s="2">
        <v>8</v>
      </c>
      <c r="I259" s="2">
        <v>25</v>
      </c>
      <c r="J259" t="str">
        <f>_xlfn.XLOOKUP(Table2[[#This Row],[Customer_ID]],Table1[Customer_ID],Table1[Customer_Name])</f>
        <v>Mervin Chiodo</v>
      </c>
    </row>
    <row r="260" spans="1:10" x14ac:dyDescent="0.35">
      <c r="A260" s="4">
        <v>40616</v>
      </c>
      <c r="B260" s="2">
        <v>10442</v>
      </c>
      <c r="C260" s="2">
        <v>172</v>
      </c>
      <c r="D260" s="2">
        <v>95</v>
      </c>
      <c r="F260" s="2">
        <v>1</v>
      </c>
      <c r="G260" s="2">
        <v>1</v>
      </c>
      <c r="H260" s="2">
        <v>463</v>
      </c>
      <c r="I260" s="2">
        <v>25</v>
      </c>
      <c r="J260" t="str">
        <f>_xlfn.XLOOKUP(Table2[[#This Row],[Customer_ID]],Table1[Customer_ID],Table1[Customer_Name])</f>
        <v>Michelle Madonia</v>
      </c>
    </row>
    <row r="261" spans="1:10" x14ac:dyDescent="0.35">
      <c r="A261" s="4">
        <v>40616</v>
      </c>
      <c r="B261" s="2">
        <v>10442</v>
      </c>
      <c r="C261" s="2">
        <v>177</v>
      </c>
      <c r="D261" s="2">
        <v>95</v>
      </c>
      <c r="F261" s="2">
        <v>1</v>
      </c>
      <c r="G261" s="2">
        <v>6</v>
      </c>
      <c r="H261" s="2">
        <v>758</v>
      </c>
      <c r="I261" s="2">
        <v>25</v>
      </c>
      <c r="J261" t="str">
        <f>_xlfn.XLOOKUP(Table2[[#This Row],[Customer_ID]],Table1[Customer_ID],Table1[Customer_Name])</f>
        <v>Michelle Madonia</v>
      </c>
    </row>
    <row r="262" spans="1:10" x14ac:dyDescent="0.35">
      <c r="A262" s="4">
        <v>40616</v>
      </c>
      <c r="B262" s="2">
        <v>10442</v>
      </c>
      <c r="C262" s="2">
        <v>157</v>
      </c>
      <c r="D262" s="2">
        <v>95</v>
      </c>
      <c r="F262" s="2">
        <v>1</v>
      </c>
      <c r="G262" s="2">
        <v>1</v>
      </c>
      <c r="H262" s="2">
        <v>1297</v>
      </c>
      <c r="I262" s="2">
        <v>25</v>
      </c>
      <c r="J262" t="str">
        <f>_xlfn.XLOOKUP(Table2[[#This Row],[Customer_ID]],Table1[Customer_ID],Table1[Customer_Name])</f>
        <v>Michelle Madonia</v>
      </c>
    </row>
    <row r="263" spans="1:10" x14ac:dyDescent="0.35">
      <c r="A263" s="4">
        <v>40617</v>
      </c>
      <c r="B263" s="2">
        <v>10444</v>
      </c>
      <c r="C263" s="2">
        <v>215</v>
      </c>
      <c r="D263" s="2">
        <v>97</v>
      </c>
      <c r="F263" s="2">
        <v>1</v>
      </c>
      <c r="G263" s="2">
        <v>8</v>
      </c>
      <c r="H263" s="2">
        <v>6</v>
      </c>
      <c r="I263" s="2">
        <v>25</v>
      </c>
      <c r="J263" t="str">
        <f>_xlfn.XLOOKUP(Table2[[#This Row],[Customer_ID]],Table1[Customer_ID],Table1[Customer_Name])</f>
        <v>Mitchell Doughtie</v>
      </c>
    </row>
    <row r="264" spans="1:10" x14ac:dyDescent="0.35">
      <c r="A264" s="4">
        <v>40617</v>
      </c>
      <c r="B264" s="2">
        <v>10444</v>
      </c>
      <c r="C264" s="2">
        <v>224</v>
      </c>
      <c r="D264" s="2">
        <v>97</v>
      </c>
      <c r="F264" s="2">
        <v>1</v>
      </c>
      <c r="G264" s="2">
        <v>2</v>
      </c>
      <c r="H264" s="2">
        <v>5</v>
      </c>
      <c r="I264" s="2">
        <v>25</v>
      </c>
      <c r="J264" t="str">
        <f>_xlfn.XLOOKUP(Table2[[#This Row],[Customer_ID]],Table1[Customer_ID],Table1[Customer_Name])</f>
        <v>Mitchell Doughtie</v>
      </c>
    </row>
    <row r="265" spans="1:10" x14ac:dyDescent="0.35">
      <c r="A265" s="4">
        <v>40617</v>
      </c>
      <c r="B265" s="2">
        <v>10444</v>
      </c>
      <c r="C265" s="2">
        <v>297</v>
      </c>
      <c r="D265" s="2">
        <v>97</v>
      </c>
      <c r="F265" s="2">
        <v>1</v>
      </c>
      <c r="G265" s="2">
        <v>1</v>
      </c>
      <c r="H265" s="2">
        <v>3</v>
      </c>
      <c r="I265" s="2">
        <v>25</v>
      </c>
      <c r="J265" t="str">
        <f>_xlfn.XLOOKUP(Table2[[#This Row],[Customer_ID]],Table1[Customer_ID],Table1[Customer_Name])</f>
        <v>Mitchell Doughtie</v>
      </c>
    </row>
    <row r="266" spans="1:10" x14ac:dyDescent="0.35">
      <c r="A266" s="4">
        <v>40617</v>
      </c>
      <c r="B266" s="2">
        <v>10444</v>
      </c>
      <c r="C266" s="2">
        <v>291</v>
      </c>
      <c r="D266" s="2">
        <v>97</v>
      </c>
      <c r="F266" s="2">
        <v>1</v>
      </c>
      <c r="G266" s="2">
        <v>2</v>
      </c>
      <c r="H266" s="2">
        <v>3</v>
      </c>
      <c r="I266" s="2">
        <v>25</v>
      </c>
      <c r="J266" t="str">
        <f>_xlfn.XLOOKUP(Table2[[#This Row],[Customer_ID]],Table1[Customer_ID],Table1[Customer_Name])</f>
        <v>Mitchell Doughtie</v>
      </c>
    </row>
    <row r="267" spans="1:10" x14ac:dyDescent="0.35">
      <c r="A267" s="4">
        <v>40619</v>
      </c>
      <c r="B267" s="2">
        <v>10446</v>
      </c>
      <c r="C267" s="2">
        <v>317</v>
      </c>
      <c r="D267" s="2">
        <v>99</v>
      </c>
      <c r="F267" s="2">
        <v>1</v>
      </c>
      <c r="G267" s="2">
        <v>2</v>
      </c>
      <c r="H267" s="2">
        <v>45</v>
      </c>
      <c r="I267" s="2">
        <v>25</v>
      </c>
      <c r="J267" t="str">
        <f>_xlfn.XLOOKUP(Table2[[#This Row],[Customer_ID]],Table1[Customer_ID],Table1[Customer_Name])</f>
        <v>Nana Nolette</v>
      </c>
    </row>
    <row r="268" spans="1:10" x14ac:dyDescent="0.35">
      <c r="A268" s="4">
        <v>40619</v>
      </c>
      <c r="B268" s="2">
        <v>10446</v>
      </c>
      <c r="C268" s="2">
        <v>369</v>
      </c>
      <c r="D268" s="2">
        <v>99</v>
      </c>
      <c r="F268" s="2">
        <v>1</v>
      </c>
      <c r="G268" s="2">
        <v>1</v>
      </c>
      <c r="H268" s="2">
        <v>6</v>
      </c>
      <c r="I268" s="2">
        <v>25</v>
      </c>
      <c r="J268" t="str">
        <f>_xlfn.XLOOKUP(Table2[[#This Row],[Customer_ID]],Table1[Customer_ID],Table1[Customer_Name])</f>
        <v>Nana Nolette</v>
      </c>
    </row>
    <row r="269" spans="1:10" x14ac:dyDescent="0.35">
      <c r="A269" s="4">
        <v>40619</v>
      </c>
      <c r="B269" s="2">
        <v>10446</v>
      </c>
      <c r="C269" s="2">
        <v>365</v>
      </c>
      <c r="D269" s="2">
        <v>99</v>
      </c>
      <c r="F269" s="2">
        <v>1</v>
      </c>
      <c r="G269" s="2">
        <v>8</v>
      </c>
      <c r="H269" s="2">
        <v>7</v>
      </c>
      <c r="I269" s="2">
        <v>25</v>
      </c>
      <c r="J269" t="str">
        <f>_xlfn.XLOOKUP(Table2[[#This Row],[Customer_ID]],Table1[Customer_ID],Table1[Customer_Name])</f>
        <v>Nana Nolette</v>
      </c>
    </row>
    <row r="270" spans="1:10" x14ac:dyDescent="0.35">
      <c r="A270" s="4">
        <v>40619</v>
      </c>
      <c r="B270" s="2">
        <v>10446</v>
      </c>
      <c r="C270" s="2">
        <v>364</v>
      </c>
      <c r="D270" s="2">
        <v>99</v>
      </c>
      <c r="F270" s="2">
        <v>1</v>
      </c>
      <c r="G270" s="2">
        <v>2</v>
      </c>
      <c r="H270" s="2">
        <v>6</v>
      </c>
      <c r="I270" s="2">
        <v>25</v>
      </c>
      <c r="J270" t="str">
        <f>_xlfn.XLOOKUP(Table2[[#This Row],[Customer_ID]],Table1[Customer_ID],Table1[Customer_Name])</f>
        <v>Nana Nolette</v>
      </c>
    </row>
    <row r="271" spans="1:10" x14ac:dyDescent="0.35">
      <c r="A271" s="4">
        <v>40622</v>
      </c>
      <c r="B271" s="2">
        <v>10448</v>
      </c>
      <c r="C271" s="2">
        <v>100</v>
      </c>
      <c r="D271" s="2">
        <v>1</v>
      </c>
      <c r="E271" s="2">
        <v>93</v>
      </c>
      <c r="F271" s="2">
        <v>1</v>
      </c>
      <c r="G271" s="2">
        <v>2</v>
      </c>
      <c r="H271" s="2">
        <v>1577</v>
      </c>
      <c r="I271" s="2">
        <v>25</v>
      </c>
      <c r="J271" t="str">
        <f>_xlfn.XLOOKUP(Table2[[#This Row],[Customer_ID]],Table1[Customer_ID],Table1[Customer_Name])</f>
        <v>Agatha Clauss</v>
      </c>
    </row>
    <row r="272" spans="1:10" x14ac:dyDescent="0.35">
      <c r="A272" s="4">
        <v>40622</v>
      </c>
      <c r="B272" s="2">
        <v>10448</v>
      </c>
      <c r="C272" s="2">
        <v>101</v>
      </c>
      <c r="D272" s="2">
        <v>1</v>
      </c>
      <c r="E272" s="2">
        <v>93</v>
      </c>
      <c r="F272" s="2">
        <v>1</v>
      </c>
      <c r="G272" s="2">
        <v>6</v>
      </c>
      <c r="H272" s="2">
        <v>706</v>
      </c>
      <c r="I272" s="2">
        <v>25</v>
      </c>
      <c r="J272" t="str">
        <f>_xlfn.XLOOKUP(Table2[[#This Row],[Customer_ID]],Table1[Customer_ID],Table1[Customer_Name])</f>
        <v>Agatha Clauss</v>
      </c>
    </row>
    <row r="273" spans="1:10" x14ac:dyDescent="0.35">
      <c r="A273" s="4">
        <v>40624</v>
      </c>
      <c r="B273" s="2">
        <v>10450</v>
      </c>
      <c r="C273" s="2">
        <v>91</v>
      </c>
      <c r="D273" s="2">
        <v>3</v>
      </c>
      <c r="E273" s="2">
        <v>40</v>
      </c>
      <c r="F273" s="2">
        <v>1</v>
      </c>
      <c r="G273" s="2">
        <v>2</v>
      </c>
      <c r="H273" s="2">
        <v>480</v>
      </c>
      <c r="I273" s="2">
        <v>25</v>
      </c>
      <c r="J273" t="str">
        <f>_xlfn.XLOOKUP(Table2[[#This Row],[Customer_ID]],Table1[Customer_ID],Table1[Customer_Name])</f>
        <v>Alonzo Stoltz</v>
      </c>
    </row>
    <row r="274" spans="1:10" x14ac:dyDescent="0.35">
      <c r="A274" s="4">
        <v>40624</v>
      </c>
      <c r="B274" s="2">
        <v>10450</v>
      </c>
      <c r="C274" s="2">
        <v>89</v>
      </c>
      <c r="D274" s="2">
        <v>3</v>
      </c>
      <c r="E274" s="2">
        <v>40</v>
      </c>
      <c r="F274" s="2">
        <v>1</v>
      </c>
      <c r="G274" s="2">
        <v>4</v>
      </c>
      <c r="H274" s="2">
        <v>543</v>
      </c>
      <c r="I274" s="2">
        <v>25</v>
      </c>
      <c r="J274" t="str">
        <f>_xlfn.XLOOKUP(Table2[[#This Row],[Customer_ID]],Table1[Customer_ID],Table1[Customer_Name])</f>
        <v>Alonzo Stoltz</v>
      </c>
    </row>
    <row r="275" spans="1:10" x14ac:dyDescent="0.35">
      <c r="A275" s="4">
        <v>40625</v>
      </c>
      <c r="B275" s="2">
        <v>10452</v>
      </c>
      <c r="C275" s="2">
        <v>430</v>
      </c>
      <c r="D275" s="2">
        <v>5</v>
      </c>
      <c r="E275" s="2">
        <v>28</v>
      </c>
      <c r="F275" s="2">
        <v>1</v>
      </c>
      <c r="G275" s="2">
        <v>2</v>
      </c>
      <c r="H275" s="2">
        <v>18</v>
      </c>
      <c r="I275" s="2">
        <v>25</v>
      </c>
      <c r="J275" t="str">
        <f>_xlfn.XLOOKUP(Table2[[#This Row],[Customer_ID]],Table1[Customer_ID],Table1[Customer_Name])</f>
        <v>Anette Abdulla</v>
      </c>
    </row>
    <row r="276" spans="1:10" x14ac:dyDescent="0.35">
      <c r="A276" s="4">
        <v>40625</v>
      </c>
      <c r="B276" s="2">
        <v>10452</v>
      </c>
      <c r="C276" s="2">
        <v>440</v>
      </c>
      <c r="D276" s="2">
        <v>5</v>
      </c>
      <c r="E276" s="2">
        <v>28</v>
      </c>
      <c r="F276" s="2">
        <v>1</v>
      </c>
      <c r="G276" s="2">
        <v>6</v>
      </c>
      <c r="H276" s="2">
        <v>38</v>
      </c>
      <c r="I276" s="2">
        <v>25</v>
      </c>
      <c r="J276" t="str">
        <f>_xlfn.XLOOKUP(Table2[[#This Row],[Customer_ID]],Table1[Customer_ID],Table1[Customer_Name])</f>
        <v>Anette Abdulla</v>
      </c>
    </row>
    <row r="277" spans="1:10" x14ac:dyDescent="0.35">
      <c r="A277" s="4">
        <v>40626</v>
      </c>
      <c r="B277" s="2">
        <v>10454</v>
      </c>
      <c r="C277" s="2">
        <v>452</v>
      </c>
      <c r="D277" s="2">
        <v>7</v>
      </c>
      <c r="E277" s="2">
        <v>32</v>
      </c>
      <c r="F277" s="2">
        <v>1</v>
      </c>
      <c r="G277" s="2">
        <v>1</v>
      </c>
      <c r="H277" s="2">
        <v>24</v>
      </c>
      <c r="I277" s="2">
        <v>25</v>
      </c>
      <c r="J277" t="str">
        <f>_xlfn.XLOOKUP(Table2[[#This Row],[Customer_ID]],Table1[Customer_ID],Table1[Customer_Name])</f>
        <v>Ardath Peaslee</v>
      </c>
    </row>
    <row r="278" spans="1:10" x14ac:dyDescent="0.35">
      <c r="A278" s="4">
        <v>40626</v>
      </c>
      <c r="B278" s="2">
        <v>10454</v>
      </c>
      <c r="C278" s="2">
        <v>448</v>
      </c>
      <c r="D278" s="2">
        <v>7</v>
      </c>
      <c r="E278" s="2">
        <v>32</v>
      </c>
      <c r="F278" s="2">
        <v>1</v>
      </c>
      <c r="G278" s="2">
        <v>7</v>
      </c>
      <c r="H278" s="2">
        <v>47</v>
      </c>
      <c r="I278" s="2">
        <v>25</v>
      </c>
      <c r="J278" t="str">
        <f>_xlfn.XLOOKUP(Table2[[#This Row],[Customer_ID]],Table1[Customer_ID],Table1[Customer_Name])</f>
        <v>Ardath Peaslee</v>
      </c>
    </row>
    <row r="279" spans="1:10" x14ac:dyDescent="0.35">
      <c r="A279" s="4">
        <v>40626</v>
      </c>
      <c r="B279" s="2">
        <v>10454</v>
      </c>
      <c r="C279" s="2">
        <v>420</v>
      </c>
      <c r="D279" s="2">
        <v>7</v>
      </c>
      <c r="E279" s="2">
        <v>32</v>
      </c>
      <c r="F279" s="2">
        <v>1</v>
      </c>
      <c r="G279" s="2">
        <v>2</v>
      </c>
      <c r="H279" s="2">
        <v>17</v>
      </c>
      <c r="I279" s="2">
        <v>25</v>
      </c>
      <c r="J279" t="str">
        <f>_xlfn.XLOOKUP(Table2[[#This Row],[Customer_ID]],Table1[Customer_ID],Table1[Customer_Name])</f>
        <v>Ardath Peaslee</v>
      </c>
    </row>
    <row r="280" spans="1:10" x14ac:dyDescent="0.35">
      <c r="A280" s="4">
        <v>40630</v>
      </c>
      <c r="B280" s="2">
        <v>10456</v>
      </c>
      <c r="C280" s="2">
        <v>59</v>
      </c>
      <c r="D280" s="2">
        <v>9</v>
      </c>
      <c r="E280" s="2">
        <v>97</v>
      </c>
      <c r="F280" s="2">
        <v>1</v>
      </c>
      <c r="G280" s="2">
        <v>1</v>
      </c>
      <c r="H280" s="2">
        <v>11</v>
      </c>
      <c r="I280" s="2">
        <v>25</v>
      </c>
      <c r="J280" t="str">
        <f>_xlfn.XLOOKUP(Table2[[#This Row],[Customer_ID]],Table1[Customer_ID],Table1[Customer_Name])</f>
        <v>Bernarda Caughey</v>
      </c>
    </row>
    <row r="281" spans="1:10" x14ac:dyDescent="0.35">
      <c r="A281" s="4">
        <v>40630</v>
      </c>
      <c r="B281" s="2">
        <v>10456</v>
      </c>
      <c r="C281" s="2">
        <v>251</v>
      </c>
      <c r="D281" s="2">
        <v>9</v>
      </c>
      <c r="E281" s="2">
        <v>97</v>
      </c>
      <c r="F281" s="2">
        <v>1</v>
      </c>
      <c r="G281" s="2">
        <v>5</v>
      </c>
      <c r="H281" s="2">
        <v>25</v>
      </c>
      <c r="I281" s="2">
        <v>25</v>
      </c>
      <c r="J281" t="str">
        <f>_xlfn.XLOOKUP(Table2[[#This Row],[Customer_ID]],Table1[Customer_ID],Table1[Customer_Name])</f>
        <v>Bernarda Caughey</v>
      </c>
    </row>
    <row r="282" spans="1:10" x14ac:dyDescent="0.35">
      <c r="A282" s="4">
        <v>40631</v>
      </c>
      <c r="B282" s="2">
        <v>10458</v>
      </c>
      <c r="C282" s="2">
        <v>333</v>
      </c>
      <c r="D282" s="2">
        <v>11</v>
      </c>
      <c r="E282" s="2">
        <v>78</v>
      </c>
      <c r="F282" s="2">
        <v>1</v>
      </c>
      <c r="G282" s="2">
        <v>2</v>
      </c>
      <c r="H282" s="2">
        <v>46</v>
      </c>
      <c r="I282" s="2">
        <v>25</v>
      </c>
      <c r="J282" t="str">
        <f>_xlfn.XLOOKUP(Table2[[#This Row],[Customer_ID]],Table1[Customer_ID],Table1[Customer_Name])</f>
        <v>Bonita Honaker</v>
      </c>
    </row>
    <row r="283" spans="1:10" x14ac:dyDescent="0.35">
      <c r="A283" s="4">
        <v>40631</v>
      </c>
      <c r="B283" s="2">
        <v>10458</v>
      </c>
      <c r="C283" s="2">
        <v>60</v>
      </c>
      <c r="D283" s="2">
        <v>11</v>
      </c>
      <c r="E283" s="2">
        <v>78</v>
      </c>
      <c r="F283" s="2">
        <v>1</v>
      </c>
      <c r="G283" s="2">
        <v>1</v>
      </c>
      <c r="H283" s="2">
        <v>4</v>
      </c>
      <c r="I283" s="2">
        <v>25</v>
      </c>
      <c r="J283" t="str">
        <f>_xlfn.XLOOKUP(Table2[[#This Row],[Customer_ID]],Table1[Customer_ID],Table1[Customer_Name])</f>
        <v>Bonita Honaker</v>
      </c>
    </row>
    <row r="284" spans="1:10" x14ac:dyDescent="0.35">
      <c r="A284" s="4">
        <v>40631</v>
      </c>
      <c r="B284" s="2">
        <v>10458</v>
      </c>
      <c r="C284" s="2">
        <v>61</v>
      </c>
      <c r="D284" s="2">
        <v>11</v>
      </c>
      <c r="E284" s="2">
        <v>78</v>
      </c>
      <c r="F284" s="2">
        <v>1</v>
      </c>
      <c r="G284" s="2">
        <v>2</v>
      </c>
      <c r="H284" s="2">
        <v>4</v>
      </c>
      <c r="I284" s="2">
        <v>25</v>
      </c>
      <c r="J284" t="str">
        <f>_xlfn.XLOOKUP(Table2[[#This Row],[Customer_ID]],Table1[Customer_ID],Table1[Customer_Name])</f>
        <v>Bonita Honaker</v>
      </c>
    </row>
    <row r="285" spans="1:10" x14ac:dyDescent="0.35">
      <c r="A285" s="4">
        <v>40631</v>
      </c>
      <c r="B285" s="2">
        <v>10458</v>
      </c>
      <c r="C285" s="2">
        <v>64</v>
      </c>
      <c r="D285" s="2">
        <v>11</v>
      </c>
      <c r="E285" s="2">
        <v>78</v>
      </c>
      <c r="F285" s="2">
        <v>1</v>
      </c>
      <c r="G285" s="2">
        <v>6</v>
      </c>
      <c r="H285" s="2">
        <v>6</v>
      </c>
      <c r="I285" s="2">
        <v>25</v>
      </c>
      <c r="J285" t="str">
        <f>_xlfn.XLOOKUP(Table2[[#This Row],[Customer_ID]],Table1[Customer_ID],Table1[Customer_Name])</f>
        <v>Bonita Honaker</v>
      </c>
    </row>
    <row r="286" spans="1:10" x14ac:dyDescent="0.35">
      <c r="A286" s="4">
        <v>40631</v>
      </c>
      <c r="B286" s="2">
        <v>10458</v>
      </c>
      <c r="C286" s="2">
        <v>368</v>
      </c>
      <c r="D286" s="2">
        <v>11</v>
      </c>
      <c r="E286" s="2">
        <v>78</v>
      </c>
      <c r="F286" s="2">
        <v>1</v>
      </c>
      <c r="G286" s="2">
        <v>1</v>
      </c>
      <c r="H286" s="2">
        <v>6</v>
      </c>
      <c r="I286" s="2">
        <v>25</v>
      </c>
      <c r="J286" t="str">
        <f>_xlfn.XLOOKUP(Table2[[#This Row],[Customer_ID]],Table1[Customer_ID],Table1[Customer_Name])</f>
        <v>Bonita Honaker</v>
      </c>
    </row>
    <row r="287" spans="1:10" x14ac:dyDescent="0.35">
      <c r="A287" s="4">
        <v>40633</v>
      </c>
      <c r="B287" s="2">
        <v>10460</v>
      </c>
      <c r="C287" s="2">
        <v>55</v>
      </c>
      <c r="D287" s="2">
        <v>13</v>
      </c>
      <c r="E287" s="2">
        <v>30</v>
      </c>
      <c r="F287" s="2">
        <v>1</v>
      </c>
      <c r="G287" s="2">
        <v>1</v>
      </c>
      <c r="H287" s="2">
        <v>20</v>
      </c>
      <c r="I287" s="2">
        <v>25</v>
      </c>
      <c r="J287" t="str">
        <f>_xlfn.XLOOKUP(Table2[[#This Row],[Customer_ID]],Table1[Customer_ID],Table1[Customer_Name])</f>
        <v>Bryant Ertel</v>
      </c>
    </row>
    <row r="288" spans="1:10" x14ac:dyDescent="0.35">
      <c r="A288" s="4">
        <v>40633</v>
      </c>
      <c r="B288" s="2">
        <v>10460</v>
      </c>
      <c r="C288" s="2">
        <v>54</v>
      </c>
      <c r="D288" s="2">
        <v>13</v>
      </c>
      <c r="E288" s="2">
        <v>30</v>
      </c>
      <c r="F288" s="2">
        <v>1</v>
      </c>
      <c r="G288" s="2">
        <v>1</v>
      </c>
      <c r="H288" s="2">
        <v>41</v>
      </c>
      <c r="I288" s="2">
        <v>25</v>
      </c>
      <c r="J288" t="str">
        <f>_xlfn.XLOOKUP(Table2[[#This Row],[Customer_ID]],Table1[Customer_ID],Table1[Customer_Name])</f>
        <v>Bryant Ertel</v>
      </c>
    </row>
    <row r="289" spans="1:10" x14ac:dyDescent="0.35">
      <c r="A289" s="4">
        <v>40636</v>
      </c>
      <c r="B289" s="2">
        <v>10462</v>
      </c>
      <c r="C289" s="2">
        <v>437</v>
      </c>
      <c r="D289" s="2">
        <v>15</v>
      </c>
      <c r="E289" s="2">
        <v>13</v>
      </c>
      <c r="F289" s="2">
        <v>1</v>
      </c>
      <c r="G289" s="2">
        <v>5</v>
      </c>
      <c r="H289" s="2">
        <v>12</v>
      </c>
      <c r="I289" s="2">
        <v>25</v>
      </c>
      <c r="J289" t="str">
        <f>_xlfn.XLOOKUP(Table2[[#This Row],[Customer_ID]],Table1[Customer_ID],Table1[Customer_Name])</f>
        <v>Caryn Conry</v>
      </c>
    </row>
    <row r="290" spans="1:10" x14ac:dyDescent="0.35">
      <c r="A290" s="4">
        <v>40636</v>
      </c>
      <c r="B290" s="2">
        <v>10462</v>
      </c>
      <c r="C290" s="2">
        <v>416</v>
      </c>
      <c r="D290" s="2">
        <v>15</v>
      </c>
      <c r="E290" s="2">
        <v>13</v>
      </c>
      <c r="F290" s="2">
        <v>1</v>
      </c>
      <c r="G290" s="2">
        <v>4</v>
      </c>
      <c r="H290" s="2">
        <v>14</v>
      </c>
      <c r="I290" s="2">
        <v>25</v>
      </c>
      <c r="J290" t="str">
        <f>_xlfn.XLOOKUP(Table2[[#This Row],[Customer_ID]],Table1[Customer_ID],Table1[Customer_Name])</f>
        <v>Caryn Conry</v>
      </c>
    </row>
    <row r="291" spans="1:10" x14ac:dyDescent="0.35">
      <c r="A291" s="4">
        <v>40637</v>
      </c>
      <c r="B291" s="2">
        <v>10464</v>
      </c>
      <c r="C291" s="2">
        <v>226</v>
      </c>
      <c r="D291" s="2">
        <v>17</v>
      </c>
      <c r="E291" s="2">
        <v>22</v>
      </c>
      <c r="F291" s="2">
        <v>1</v>
      </c>
      <c r="G291" s="2">
        <v>2</v>
      </c>
      <c r="H291" s="2">
        <v>4</v>
      </c>
      <c r="I291" s="2">
        <v>25</v>
      </c>
      <c r="J291" t="str">
        <f>_xlfn.XLOOKUP(Table2[[#This Row],[Customer_ID]],Table1[Customer_ID],Table1[Customer_Name])</f>
        <v>Cecelia Beeler</v>
      </c>
    </row>
    <row r="292" spans="1:10" x14ac:dyDescent="0.35">
      <c r="A292" s="4">
        <v>40637</v>
      </c>
      <c r="B292" s="2">
        <v>10464</v>
      </c>
      <c r="C292" s="2">
        <v>371</v>
      </c>
      <c r="D292" s="2">
        <v>17</v>
      </c>
      <c r="E292" s="2">
        <v>22</v>
      </c>
      <c r="F292" s="2">
        <v>1</v>
      </c>
      <c r="G292" s="2">
        <v>2</v>
      </c>
      <c r="H292" s="2">
        <v>7</v>
      </c>
      <c r="I292" s="2">
        <v>25</v>
      </c>
      <c r="J292" t="str">
        <f>_xlfn.XLOOKUP(Table2[[#This Row],[Customer_ID]],Table1[Customer_ID],Table1[Customer_Name])</f>
        <v>Cecelia Beeler</v>
      </c>
    </row>
    <row r="293" spans="1:10" x14ac:dyDescent="0.35">
      <c r="A293" s="4">
        <v>40637</v>
      </c>
      <c r="B293" s="2">
        <v>10464</v>
      </c>
      <c r="C293" s="2">
        <v>296</v>
      </c>
      <c r="D293" s="2">
        <v>17</v>
      </c>
      <c r="E293" s="2">
        <v>22</v>
      </c>
      <c r="F293" s="2">
        <v>1</v>
      </c>
      <c r="G293" s="2">
        <v>1</v>
      </c>
      <c r="H293" s="2">
        <v>3</v>
      </c>
      <c r="I293" s="2">
        <v>25</v>
      </c>
      <c r="J293" t="str">
        <f>_xlfn.XLOOKUP(Table2[[#This Row],[Customer_ID]],Table1[Customer_ID],Table1[Customer_Name])</f>
        <v>Cecelia Beeler</v>
      </c>
    </row>
    <row r="294" spans="1:10" x14ac:dyDescent="0.35">
      <c r="A294" s="4">
        <v>40637</v>
      </c>
      <c r="B294" s="2">
        <v>10464</v>
      </c>
      <c r="C294" s="2">
        <v>214</v>
      </c>
      <c r="D294" s="2">
        <v>17</v>
      </c>
      <c r="E294" s="2">
        <v>22</v>
      </c>
      <c r="F294" s="2">
        <v>1</v>
      </c>
      <c r="G294" s="2">
        <v>5</v>
      </c>
      <c r="H294" s="2">
        <v>7</v>
      </c>
      <c r="I294" s="2">
        <v>25</v>
      </c>
      <c r="J294" t="str">
        <f>_xlfn.XLOOKUP(Table2[[#This Row],[Customer_ID]],Table1[Customer_ID],Table1[Customer_Name])</f>
        <v>Cecelia Beeler</v>
      </c>
    </row>
    <row r="295" spans="1:10" x14ac:dyDescent="0.35">
      <c r="A295" s="4">
        <v>40639</v>
      </c>
      <c r="B295" s="2">
        <v>10466</v>
      </c>
      <c r="C295" s="2">
        <v>205</v>
      </c>
      <c r="D295" s="2">
        <v>19</v>
      </c>
      <c r="E295" s="2">
        <v>58</v>
      </c>
      <c r="F295" s="2">
        <v>1</v>
      </c>
      <c r="G295" s="2">
        <v>2</v>
      </c>
      <c r="H295" s="2">
        <v>9</v>
      </c>
      <c r="I295" s="2">
        <v>25</v>
      </c>
      <c r="J295" t="str">
        <f>_xlfn.XLOOKUP(Table2[[#This Row],[Customer_ID]],Table1[Customer_ID],Table1[Customer_Name])</f>
        <v>Charlyn Sanroman</v>
      </c>
    </row>
    <row r="296" spans="1:10" x14ac:dyDescent="0.35">
      <c r="A296" s="4">
        <v>40639</v>
      </c>
      <c r="B296" s="2">
        <v>10466</v>
      </c>
      <c r="C296" s="2">
        <v>398</v>
      </c>
      <c r="D296" s="2">
        <v>19</v>
      </c>
      <c r="E296" s="2">
        <v>58</v>
      </c>
      <c r="F296" s="2">
        <v>1</v>
      </c>
      <c r="G296" s="2">
        <v>2</v>
      </c>
      <c r="H296" s="2">
        <v>12</v>
      </c>
      <c r="I296" s="2">
        <v>25</v>
      </c>
      <c r="J296" t="str">
        <f>_xlfn.XLOOKUP(Table2[[#This Row],[Customer_ID]],Table1[Customer_ID],Table1[Customer_Name])</f>
        <v>Charlyn Sanroman</v>
      </c>
    </row>
    <row r="297" spans="1:10" x14ac:dyDescent="0.35">
      <c r="A297" s="4">
        <v>40640</v>
      </c>
      <c r="B297" s="2">
        <v>10468</v>
      </c>
      <c r="C297" s="2">
        <v>339</v>
      </c>
      <c r="D297" s="2">
        <v>21</v>
      </c>
      <c r="E297" s="2">
        <v>61</v>
      </c>
      <c r="F297" s="2">
        <v>1</v>
      </c>
      <c r="G297" s="2">
        <v>8</v>
      </c>
      <c r="H297" s="2">
        <v>2</v>
      </c>
      <c r="I297" s="2">
        <v>25</v>
      </c>
      <c r="J297" t="str">
        <f>_xlfn.XLOOKUP(Table2[[#This Row],[Customer_ID]],Table1[Customer_ID],Table1[Customer_Name])</f>
        <v>Clemencia Gwyn</v>
      </c>
    </row>
    <row r="298" spans="1:10" x14ac:dyDescent="0.35">
      <c r="A298" s="4">
        <v>40640</v>
      </c>
      <c r="B298" s="2">
        <v>10468</v>
      </c>
      <c r="C298" s="2">
        <v>329</v>
      </c>
      <c r="D298" s="2">
        <v>21</v>
      </c>
      <c r="E298" s="2">
        <v>61</v>
      </c>
      <c r="F298" s="2">
        <v>1</v>
      </c>
      <c r="G298" s="2">
        <v>5</v>
      </c>
      <c r="H298" s="2">
        <v>21</v>
      </c>
      <c r="I298" s="2">
        <v>25</v>
      </c>
      <c r="J298" t="str">
        <f>_xlfn.XLOOKUP(Table2[[#This Row],[Customer_ID]],Table1[Customer_ID],Table1[Customer_Name])</f>
        <v>Clemencia Gwyn</v>
      </c>
    </row>
    <row r="299" spans="1:10" x14ac:dyDescent="0.35">
      <c r="A299" s="4">
        <v>40644</v>
      </c>
      <c r="B299" s="2">
        <v>10470</v>
      </c>
      <c r="C299" s="2">
        <v>261</v>
      </c>
      <c r="D299" s="2">
        <v>23</v>
      </c>
      <c r="E299" s="2">
        <v>80</v>
      </c>
      <c r="F299" s="2">
        <v>1</v>
      </c>
      <c r="G299" s="2">
        <v>2</v>
      </c>
      <c r="H299" s="2">
        <v>5</v>
      </c>
      <c r="I299" s="2">
        <v>25</v>
      </c>
      <c r="J299" t="str">
        <f>_xlfn.XLOOKUP(Table2[[#This Row],[Customer_ID]],Table1[Customer_ID],Table1[Customer_Name])</f>
        <v>Collette Romain</v>
      </c>
    </row>
    <row r="300" spans="1:10" x14ac:dyDescent="0.35">
      <c r="A300" s="4">
        <v>40644</v>
      </c>
      <c r="B300" s="2">
        <v>10470</v>
      </c>
      <c r="C300" s="2">
        <v>231</v>
      </c>
      <c r="D300" s="2">
        <v>23</v>
      </c>
      <c r="E300" s="2">
        <v>80</v>
      </c>
      <c r="F300" s="2">
        <v>1</v>
      </c>
      <c r="G300" s="2">
        <v>3</v>
      </c>
      <c r="H300" s="2">
        <v>5</v>
      </c>
      <c r="I300" s="2">
        <v>25</v>
      </c>
      <c r="J300" t="str">
        <f>_xlfn.XLOOKUP(Table2[[#This Row],[Customer_ID]],Table1[Customer_ID],Table1[Customer_Name])</f>
        <v>Collette Romain</v>
      </c>
    </row>
    <row r="301" spans="1:10" x14ac:dyDescent="0.35">
      <c r="A301" s="4">
        <v>40644</v>
      </c>
      <c r="B301" s="2">
        <v>10470</v>
      </c>
      <c r="C301" s="2">
        <v>280</v>
      </c>
      <c r="D301" s="2">
        <v>23</v>
      </c>
      <c r="E301" s="2">
        <v>80</v>
      </c>
      <c r="F301" s="2">
        <v>1</v>
      </c>
      <c r="G301" s="2">
        <v>1</v>
      </c>
      <c r="H301" s="2">
        <v>2</v>
      </c>
      <c r="I301" s="2">
        <v>25</v>
      </c>
      <c r="J301" t="str">
        <f>_xlfn.XLOOKUP(Table2[[#This Row],[Customer_ID]],Table1[Customer_ID],Table1[Customer_Name])</f>
        <v>Collette Romain</v>
      </c>
    </row>
    <row r="302" spans="1:10" x14ac:dyDescent="0.35">
      <c r="A302" s="4">
        <v>40645</v>
      </c>
      <c r="B302" s="2">
        <v>10472</v>
      </c>
      <c r="C302" s="2">
        <v>225</v>
      </c>
      <c r="D302" s="2">
        <v>25</v>
      </c>
      <c r="E302" s="2">
        <v>68</v>
      </c>
      <c r="F302" s="2">
        <v>1</v>
      </c>
      <c r="G302" s="2">
        <v>2</v>
      </c>
      <c r="H302" s="2">
        <v>3</v>
      </c>
      <c r="I302" s="2">
        <v>25</v>
      </c>
      <c r="J302" t="str">
        <f>_xlfn.XLOOKUP(Table2[[#This Row],[Customer_ID]],Table1[Customer_ID],Table1[Customer_Name])</f>
        <v>Cristy Claire</v>
      </c>
    </row>
    <row r="303" spans="1:10" x14ac:dyDescent="0.35">
      <c r="A303" s="4">
        <v>40645</v>
      </c>
      <c r="B303" s="2">
        <v>10472</v>
      </c>
      <c r="C303" s="2">
        <v>305</v>
      </c>
      <c r="D303" s="2">
        <v>25</v>
      </c>
      <c r="E303" s="2">
        <v>68</v>
      </c>
      <c r="F303" s="2">
        <v>1</v>
      </c>
      <c r="G303" s="2">
        <v>8</v>
      </c>
      <c r="H303" s="2">
        <v>4</v>
      </c>
      <c r="I303" s="2">
        <v>25</v>
      </c>
      <c r="J303" t="str">
        <f>_xlfn.XLOOKUP(Table2[[#This Row],[Customer_ID]],Table1[Customer_ID],Table1[Customer_Name])</f>
        <v>Cristy Claire</v>
      </c>
    </row>
    <row r="304" spans="1:10" x14ac:dyDescent="0.35">
      <c r="A304" s="4">
        <v>40646</v>
      </c>
      <c r="B304" s="2">
        <v>10474</v>
      </c>
      <c r="C304" s="2">
        <v>363</v>
      </c>
      <c r="D304" s="2">
        <v>27</v>
      </c>
      <c r="E304" s="2">
        <v>56</v>
      </c>
      <c r="F304" s="2">
        <v>1</v>
      </c>
      <c r="G304" s="2">
        <v>6</v>
      </c>
      <c r="H304" s="2">
        <v>2</v>
      </c>
      <c r="I304" s="2">
        <v>25</v>
      </c>
      <c r="J304" t="str">
        <f>_xlfn.XLOOKUP(Table2[[#This Row],[Customer_ID]],Table1[Customer_ID],Table1[Customer_Name])</f>
        <v>Daniel Emmerich</v>
      </c>
    </row>
    <row r="305" spans="1:10" x14ac:dyDescent="0.35">
      <c r="A305" s="4">
        <v>40646</v>
      </c>
      <c r="B305" s="2">
        <v>10474</v>
      </c>
      <c r="C305" s="2">
        <v>211</v>
      </c>
      <c r="D305" s="2">
        <v>27</v>
      </c>
      <c r="E305" s="2">
        <v>56</v>
      </c>
      <c r="F305" s="2">
        <v>1</v>
      </c>
      <c r="G305" s="2">
        <v>2</v>
      </c>
      <c r="H305" s="2">
        <v>4</v>
      </c>
      <c r="I305" s="2">
        <v>25</v>
      </c>
      <c r="J305" t="str">
        <f>_xlfn.XLOOKUP(Table2[[#This Row],[Customer_ID]],Table1[Customer_ID],Table1[Customer_Name])</f>
        <v>Daniel Emmerich</v>
      </c>
    </row>
    <row r="306" spans="1:10" x14ac:dyDescent="0.35">
      <c r="A306" s="4">
        <v>40646</v>
      </c>
      <c r="B306" s="2">
        <v>10474</v>
      </c>
      <c r="C306" s="2">
        <v>367</v>
      </c>
      <c r="D306" s="2">
        <v>27</v>
      </c>
      <c r="E306" s="2">
        <v>56</v>
      </c>
      <c r="F306" s="2">
        <v>1</v>
      </c>
      <c r="G306" s="2">
        <v>4</v>
      </c>
      <c r="H306" s="2">
        <v>10</v>
      </c>
      <c r="I306" s="2">
        <v>25</v>
      </c>
      <c r="J306" t="str">
        <f>_xlfn.XLOOKUP(Table2[[#This Row],[Customer_ID]],Table1[Customer_ID],Table1[Customer_Name])</f>
        <v>Daniel Emmerich</v>
      </c>
    </row>
    <row r="307" spans="1:10" x14ac:dyDescent="0.35">
      <c r="A307" s="4">
        <v>40646</v>
      </c>
      <c r="B307" s="2">
        <v>10474</v>
      </c>
      <c r="C307" s="2">
        <v>362</v>
      </c>
      <c r="D307" s="2">
        <v>27</v>
      </c>
      <c r="E307" s="2">
        <v>56</v>
      </c>
      <c r="F307" s="2">
        <v>1</v>
      </c>
      <c r="G307" s="2">
        <v>1</v>
      </c>
      <c r="H307" s="2">
        <v>4</v>
      </c>
      <c r="I307" s="2">
        <v>25</v>
      </c>
      <c r="J307" t="str">
        <f>_xlfn.XLOOKUP(Table2[[#This Row],[Customer_ID]],Table1[Customer_ID],Table1[Customer_Name])</f>
        <v>Daniel Emmerich</v>
      </c>
    </row>
    <row r="308" spans="1:10" x14ac:dyDescent="0.35">
      <c r="A308" s="4">
        <v>40650</v>
      </c>
      <c r="B308" s="2">
        <v>10476</v>
      </c>
      <c r="C308" s="2">
        <v>286</v>
      </c>
      <c r="D308" s="2">
        <v>29</v>
      </c>
      <c r="E308" s="2">
        <v>82</v>
      </c>
      <c r="F308" s="2">
        <v>1</v>
      </c>
      <c r="G308" s="2">
        <v>3</v>
      </c>
      <c r="H308" s="2">
        <v>4</v>
      </c>
      <c r="I308" s="2">
        <v>25</v>
      </c>
      <c r="J308" t="str">
        <f>_xlfn.XLOOKUP(Table2[[#This Row],[Customer_ID]],Table1[Customer_ID],Table1[Customer_Name])</f>
        <v>Deneen Client</v>
      </c>
    </row>
    <row r="309" spans="1:10" x14ac:dyDescent="0.35">
      <c r="A309" s="4">
        <v>40650</v>
      </c>
      <c r="B309" s="2">
        <v>10476</v>
      </c>
      <c r="C309" s="2">
        <v>288</v>
      </c>
      <c r="D309" s="2">
        <v>29</v>
      </c>
      <c r="E309" s="2">
        <v>82</v>
      </c>
      <c r="F309" s="2">
        <v>1</v>
      </c>
      <c r="G309" s="2">
        <v>8</v>
      </c>
      <c r="H309" s="2">
        <v>3</v>
      </c>
      <c r="I309" s="2">
        <v>25</v>
      </c>
      <c r="J309" t="str">
        <f>_xlfn.XLOOKUP(Table2[[#This Row],[Customer_ID]],Table1[Customer_ID],Table1[Customer_Name])</f>
        <v>Deneen Client</v>
      </c>
    </row>
    <row r="310" spans="1:10" x14ac:dyDescent="0.35">
      <c r="A310" s="4">
        <v>40651</v>
      </c>
      <c r="B310" s="2">
        <v>10478</v>
      </c>
      <c r="C310" s="2">
        <v>109</v>
      </c>
      <c r="D310" s="2">
        <v>31</v>
      </c>
      <c r="E310" s="2">
        <v>56</v>
      </c>
      <c r="F310" s="2">
        <v>1</v>
      </c>
      <c r="G310" s="2">
        <v>1</v>
      </c>
      <c r="H310" s="2">
        <v>377</v>
      </c>
      <c r="I310" s="2">
        <v>25</v>
      </c>
      <c r="J310" t="str">
        <f>_xlfn.XLOOKUP(Table2[[#This Row],[Customer_ID]],Table1[Customer_ID],Table1[Customer_Name])</f>
        <v>Dona Kinkade</v>
      </c>
    </row>
    <row r="311" spans="1:10" x14ac:dyDescent="0.35">
      <c r="A311" s="4">
        <v>40653</v>
      </c>
      <c r="B311" s="2">
        <v>10480</v>
      </c>
      <c r="C311" s="2">
        <v>107</v>
      </c>
      <c r="D311" s="2">
        <v>33</v>
      </c>
      <c r="E311" s="2">
        <v>29</v>
      </c>
      <c r="F311" s="2">
        <v>1</v>
      </c>
      <c r="G311" s="2">
        <v>5</v>
      </c>
      <c r="H311" s="2">
        <v>628</v>
      </c>
      <c r="I311" s="2">
        <v>25</v>
      </c>
      <c r="J311" t="str">
        <f>_xlfn.XLOOKUP(Table2[[#This Row],[Customer_ID]],Table1[Customer_ID],Table1[Customer_Name])</f>
        <v>Douglas Swinson</v>
      </c>
    </row>
    <row r="312" spans="1:10" x14ac:dyDescent="0.35">
      <c r="A312" s="4">
        <v>40653</v>
      </c>
      <c r="B312" s="2">
        <v>10480</v>
      </c>
      <c r="C312" s="2">
        <v>110</v>
      </c>
      <c r="D312" s="2">
        <v>33</v>
      </c>
      <c r="E312" s="2">
        <v>29</v>
      </c>
      <c r="F312" s="2">
        <v>1</v>
      </c>
      <c r="G312" s="2">
        <v>6</v>
      </c>
      <c r="H312" s="2">
        <v>1101</v>
      </c>
      <c r="I312" s="2">
        <v>25</v>
      </c>
      <c r="J312" t="str">
        <f>_xlfn.XLOOKUP(Table2[[#This Row],[Customer_ID]],Table1[Customer_ID],Table1[Customer_Name])</f>
        <v>Douglas Swinson</v>
      </c>
    </row>
    <row r="313" spans="1:10" x14ac:dyDescent="0.35">
      <c r="A313" s="4">
        <v>40654</v>
      </c>
      <c r="B313" s="2">
        <v>10482</v>
      </c>
      <c r="C313" s="2">
        <v>105</v>
      </c>
      <c r="D313" s="2">
        <v>35</v>
      </c>
      <c r="E313" s="2">
        <v>4</v>
      </c>
      <c r="F313" s="2">
        <v>1</v>
      </c>
      <c r="G313" s="2">
        <v>3</v>
      </c>
      <c r="H313" s="2">
        <v>661</v>
      </c>
      <c r="I313" s="2">
        <v>25</v>
      </c>
      <c r="J313" t="str">
        <f>_xlfn.XLOOKUP(Table2[[#This Row],[Customer_ID]],Table1[Customer_ID],Table1[Customer_Name])</f>
        <v>Dung Do</v>
      </c>
    </row>
    <row r="314" spans="1:10" x14ac:dyDescent="0.35">
      <c r="A314" s="4">
        <v>40657</v>
      </c>
      <c r="B314" s="2">
        <v>10484</v>
      </c>
      <c r="C314" s="2">
        <v>20</v>
      </c>
      <c r="D314" s="2">
        <v>37</v>
      </c>
      <c r="E314" s="2">
        <v>87</v>
      </c>
      <c r="F314" s="2">
        <v>1</v>
      </c>
      <c r="G314" s="2">
        <v>2</v>
      </c>
      <c r="H314" s="2">
        <v>659</v>
      </c>
      <c r="I314" s="2">
        <v>25</v>
      </c>
      <c r="J314" t="str">
        <f>_xlfn.XLOOKUP(Table2[[#This Row],[Customer_ID]],Table1[Customer_ID],Table1[Customer_Name])</f>
        <v>Edda Mcquillen</v>
      </c>
    </row>
    <row r="315" spans="1:10" x14ac:dyDescent="0.35">
      <c r="A315" s="4">
        <v>40657</v>
      </c>
      <c r="B315" s="2">
        <v>10484</v>
      </c>
      <c r="C315" s="2">
        <v>26</v>
      </c>
      <c r="D315" s="2">
        <v>37</v>
      </c>
      <c r="E315" s="2">
        <v>87</v>
      </c>
      <c r="F315" s="2">
        <v>1</v>
      </c>
      <c r="G315" s="2">
        <v>2</v>
      </c>
      <c r="H315" s="2">
        <v>252</v>
      </c>
      <c r="I315" s="2">
        <v>25</v>
      </c>
      <c r="J315" t="str">
        <f>_xlfn.XLOOKUP(Table2[[#This Row],[Customer_ID]],Table1[Customer_ID],Table1[Customer_Name])</f>
        <v>Edda Mcquillen</v>
      </c>
    </row>
    <row r="316" spans="1:10" x14ac:dyDescent="0.35">
      <c r="A316" s="4">
        <v>40657</v>
      </c>
      <c r="B316" s="2">
        <v>10484</v>
      </c>
      <c r="C316" s="2">
        <v>25</v>
      </c>
      <c r="D316" s="2">
        <v>37</v>
      </c>
      <c r="E316" s="2">
        <v>87</v>
      </c>
      <c r="F316" s="2">
        <v>1</v>
      </c>
      <c r="G316" s="2">
        <v>2</v>
      </c>
      <c r="H316" s="2">
        <v>364</v>
      </c>
      <c r="I316" s="2">
        <v>25</v>
      </c>
      <c r="J316" t="str">
        <f>_xlfn.XLOOKUP(Table2[[#This Row],[Customer_ID]],Table1[Customer_ID],Table1[Customer_Name])</f>
        <v>Edda Mcquillen</v>
      </c>
    </row>
    <row r="317" spans="1:10" x14ac:dyDescent="0.35">
      <c r="A317" s="4">
        <v>40659</v>
      </c>
      <c r="B317" s="2">
        <v>10486</v>
      </c>
      <c r="C317" s="2">
        <v>260</v>
      </c>
      <c r="D317" s="2">
        <v>39</v>
      </c>
      <c r="E317" s="2">
        <v>57</v>
      </c>
      <c r="F317" s="2">
        <v>1</v>
      </c>
      <c r="G317" s="2">
        <v>2</v>
      </c>
      <c r="H317" s="2">
        <v>15</v>
      </c>
      <c r="I317" s="2">
        <v>25</v>
      </c>
      <c r="J317" t="str">
        <f>_xlfn.XLOOKUP(Table2[[#This Row],[Customer_ID]],Table1[Customer_ID],Table1[Customer_Name])</f>
        <v>Edythe Manney</v>
      </c>
    </row>
    <row r="318" spans="1:10" x14ac:dyDescent="0.35">
      <c r="A318" s="4">
        <v>40659</v>
      </c>
      <c r="B318" s="2">
        <v>10486</v>
      </c>
      <c r="C318" s="2">
        <v>229</v>
      </c>
      <c r="D318" s="2">
        <v>39</v>
      </c>
      <c r="E318" s="2">
        <v>57</v>
      </c>
      <c r="F318" s="2">
        <v>1</v>
      </c>
      <c r="G318" s="2">
        <v>6</v>
      </c>
      <c r="H318" s="2">
        <v>4</v>
      </c>
      <c r="I318" s="2">
        <v>25</v>
      </c>
      <c r="J318" t="str">
        <f>_xlfn.XLOOKUP(Table2[[#This Row],[Customer_ID]],Table1[Customer_ID],Table1[Customer_Name])</f>
        <v>Edythe Manney</v>
      </c>
    </row>
    <row r="319" spans="1:10" x14ac:dyDescent="0.35">
      <c r="A319" s="4">
        <v>40659</v>
      </c>
      <c r="B319" s="2">
        <v>10486</v>
      </c>
      <c r="C319" s="2">
        <v>50</v>
      </c>
      <c r="D319" s="2">
        <v>39</v>
      </c>
      <c r="E319" s="2">
        <v>57</v>
      </c>
      <c r="F319" s="2">
        <v>1</v>
      </c>
      <c r="G319" s="2">
        <v>4</v>
      </c>
      <c r="H319" s="2">
        <v>65</v>
      </c>
      <c r="I319" s="2">
        <v>25</v>
      </c>
      <c r="J319" t="str">
        <f>_xlfn.XLOOKUP(Table2[[#This Row],[Customer_ID]],Table1[Customer_ID],Table1[Customer_Name])</f>
        <v>Edythe Manney</v>
      </c>
    </row>
    <row r="320" spans="1:10" x14ac:dyDescent="0.35">
      <c r="A320" s="4">
        <v>40660</v>
      </c>
      <c r="B320" s="2">
        <v>10488</v>
      </c>
      <c r="C320" s="2">
        <v>233</v>
      </c>
      <c r="D320" s="2">
        <v>41</v>
      </c>
      <c r="E320" s="2">
        <v>50</v>
      </c>
      <c r="F320" s="2">
        <v>1</v>
      </c>
      <c r="G320" s="2">
        <v>1</v>
      </c>
      <c r="H320" s="2">
        <v>3</v>
      </c>
      <c r="I320" s="2">
        <v>25</v>
      </c>
      <c r="J320" t="str">
        <f>_xlfn.XLOOKUP(Table2[[#This Row],[Customer_ID]],Table1[Customer_ID],Table1[Customer_Name])</f>
        <v>Elicia Rea</v>
      </c>
    </row>
    <row r="321" spans="1:10" x14ac:dyDescent="0.35">
      <c r="A321" s="4">
        <v>40660</v>
      </c>
      <c r="B321" s="2">
        <v>10488</v>
      </c>
      <c r="C321" s="2">
        <v>171</v>
      </c>
      <c r="D321" s="2">
        <v>41</v>
      </c>
      <c r="E321" s="2">
        <v>50</v>
      </c>
      <c r="F321" s="2">
        <v>1</v>
      </c>
      <c r="G321" s="2">
        <v>3</v>
      </c>
      <c r="H321" s="2">
        <v>227</v>
      </c>
      <c r="I321" s="2">
        <v>25</v>
      </c>
      <c r="J321" t="str">
        <f>_xlfn.XLOOKUP(Table2[[#This Row],[Customer_ID]],Table1[Customer_ID],Table1[Customer_Name])</f>
        <v>Elicia Rea</v>
      </c>
    </row>
    <row r="322" spans="1:10" x14ac:dyDescent="0.35">
      <c r="A322" s="4">
        <v>40664</v>
      </c>
      <c r="B322" s="2">
        <v>10490</v>
      </c>
      <c r="C322" s="2">
        <v>277</v>
      </c>
      <c r="D322" s="2">
        <v>43</v>
      </c>
      <c r="E322" s="2">
        <v>17</v>
      </c>
      <c r="F322" s="2">
        <v>1</v>
      </c>
      <c r="G322" s="2">
        <v>1</v>
      </c>
      <c r="H322" s="2">
        <v>2</v>
      </c>
      <c r="I322" s="2">
        <v>25</v>
      </c>
      <c r="J322" t="str">
        <f>_xlfn.XLOOKUP(Table2[[#This Row],[Customer_ID]],Table1[Customer_ID],Table1[Customer_Name])</f>
        <v>Eric Eshelman</v>
      </c>
    </row>
    <row r="323" spans="1:10" x14ac:dyDescent="0.35">
      <c r="A323" s="4">
        <v>40664</v>
      </c>
      <c r="B323" s="2">
        <v>10490</v>
      </c>
      <c r="C323" s="2">
        <v>303</v>
      </c>
      <c r="D323" s="2">
        <v>43</v>
      </c>
      <c r="E323" s="2">
        <v>17</v>
      </c>
      <c r="F323" s="2">
        <v>1</v>
      </c>
      <c r="G323" s="2">
        <v>6</v>
      </c>
      <c r="H323" s="2">
        <v>3</v>
      </c>
      <c r="I323" s="2">
        <v>25</v>
      </c>
      <c r="J323" t="str">
        <f>_xlfn.XLOOKUP(Table2[[#This Row],[Customer_ID]],Table1[Customer_ID],Table1[Customer_Name])</f>
        <v>Eric Eshelman</v>
      </c>
    </row>
    <row r="324" spans="1:10" x14ac:dyDescent="0.35">
      <c r="A324" s="4">
        <v>40664</v>
      </c>
      <c r="B324" s="2">
        <v>10490</v>
      </c>
      <c r="C324" s="2">
        <v>304</v>
      </c>
      <c r="D324" s="2">
        <v>43</v>
      </c>
      <c r="E324" s="2">
        <v>17</v>
      </c>
      <c r="F324" s="2">
        <v>1</v>
      </c>
      <c r="G324" s="2">
        <v>1</v>
      </c>
      <c r="H324" s="2">
        <v>3</v>
      </c>
      <c r="I324" s="2">
        <v>25</v>
      </c>
      <c r="J324" t="str">
        <f>_xlfn.XLOOKUP(Table2[[#This Row],[Customer_ID]],Table1[Customer_ID],Table1[Customer_Name])</f>
        <v>Eric Eshelman</v>
      </c>
    </row>
    <row r="325" spans="1:10" x14ac:dyDescent="0.35">
      <c r="A325" s="4">
        <v>40665</v>
      </c>
      <c r="B325" s="2">
        <v>10492</v>
      </c>
      <c r="C325" s="2">
        <v>334</v>
      </c>
      <c r="D325" s="2">
        <v>45</v>
      </c>
      <c r="E325" s="2">
        <v>46</v>
      </c>
      <c r="F325" s="2">
        <v>1</v>
      </c>
      <c r="G325" s="2">
        <v>2</v>
      </c>
      <c r="H325" s="2">
        <v>4</v>
      </c>
      <c r="I325" s="2">
        <v>25</v>
      </c>
      <c r="J325" t="str">
        <f>_xlfn.XLOOKUP(Table2[[#This Row],[Customer_ID]],Table1[Customer_ID],Table1[Customer_Name])</f>
        <v>Everette Ellery</v>
      </c>
    </row>
    <row r="326" spans="1:10" x14ac:dyDescent="0.35">
      <c r="A326" s="4">
        <v>40665</v>
      </c>
      <c r="B326" s="2">
        <v>10492</v>
      </c>
      <c r="C326" s="2">
        <v>338</v>
      </c>
      <c r="D326" s="2">
        <v>45</v>
      </c>
      <c r="E326" s="2">
        <v>46</v>
      </c>
      <c r="F326" s="2">
        <v>1</v>
      </c>
      <c r="G326" s="2">
        <v>6</v>
      </c>
      <c r="H326" s="2">
        <v>4</v>
      </c>
      <c r="I326" s="2">
        <v>25</v>
      </c>
      <c r="J326" t="str">
        <f>_xlfn.XLOOKUP(Table2[[#This Row],[Customer_ID]],Table1[Customer_ID],Table1[Customer_Name])</f>
        <v>Everette Ellery</v>
      </c>
    </row>
    <row r="327" spans="1:10" x14ac:dyDescent="0.35">
      <c r="A327" s="4">
        <v>40666</v>
      </c>
      <c r="B327" s="2">
        <v>10494</v>
      </c>
      <c r="C327" s="2">
        <v>257</v>
      </c>
      <c r="D327" s="2">
        <v>47</v>
      </c>
      <c r="E327" s="2">
        <v>2</v>
      </c>
      <c r="F327" s="2">
        <v>1</v>
      </c>
      <c r="G327" s="2">
        <v>5</v>
      </c>
      <c r="H327" s="2">
        <v>2</v>
      </c>
      <c r="I327" s="2">
        <v>25</v>
      </c>
      <c r="J327" t="str">
        <f>_xlfn.XLOOKUP(Table2[[#This Row],[Customer_ID]],Table1[Customer_ID],Table1[Customer_Name])</f>
        <v>Fe Finchum</v>
      </c>
    </row>
    <row r="328" spans="1:10" x14ac:dyDescent="0.35">
      <c r="A328" s="4">
        <v>40668</v>
      </c>
      <c r="B328" s="2">
        <v>10496</v>
      </c>
      <c r="C328" s="2">
        <v>127</v>
      </c>
      <c r="D328" s="2">
        <v>49</v>
      </c>
      <c r="E328" s="2">
        <v>52</v>
      </c>
      <c r="F328" s="2">
        <v>1</v>
      </c>
      <c r="G328" s="2">
        <v>2</v>
      </c>
      <c r="H328" s="2">
        <v>695</v>
      </c>
      <c r="I328" s="2">
        <v>25</v>
      </c>
      <c r="J328" t="str">
        <f>_xlfn.XLOOKUP(Table2[[#This Row],[Customer_ID]],Table1[Customer_ID],Table1[Customer_Name])</f>
        <v>Geraldo Stickney</v>
      </c>
    </row>
    <row r="329" spans="1:10" x14ac:dyDescent="0.35">
      <c r="A329" s="4">
        <v>40671</v>
      </c>
      <c r="B329" s="2">
        <v>10498</v>
      </c>
      <c r="C329" s="2">
        <v>131</v>
      </c>
      <c r="D329" s="2">
        <v>51</v>
      </c>
      <c r="E329" s="2">
        <v>23</v>
      </c>
      <c r="F329" s="2">
        <v>1</v>
      </c>
      <c r="G329" s="2">
        <v>2</v>
      </c>
      <c r="H329" s="2">
        <v>840</v>
      </c>
      <c r="I329" s="2">
        <v>25</v>
      </c>
      <c r="J329" t="str">
        <f>_xlfn.XLOOKUP(Table2[[#This Row],[Customer_ID]],Table1[Customer_ID],Table1[Customer_Name])</f>
        <v>Gladis Hasan</v>
      </c>
    </row>
    <row r="330" spans="1:10" x14ac:dyDescent="0.35">
      <c r="A330" s="4">
        <v>40671</v>
      </c>
      <c r="B330" s="2">
        <v>10498</v>
      </c>
      <c r="C330" s="2">
        <v>129</v>
      </c>
      <c r="D330" s="2">
        <v>51</v>
      </c>
      <c r="E330" s="2">
        <v>23</v>
      </c>
      <c r="F330" s="2">
        <v>1</v>
      </c>
      <c r="G330" s="2">
        <v>1</v>
      </c>
      <c r="H330" s="2">
        <v>577</v>
      </c>
      <c r="I330" s="2">
        <v>25</v>
      </c>
      <c r="J330" t="str">
        <f>_xlfn.XLOOKUP(Table2[[#This Row],[Customer_ID]],Table1[Customer_ID],Table1[Customer_Name])</f>
        <v>Gladis Hasan</v>
      </c>
    </row>
    <row r="331" spans="1:10" x14ac:dyDescent="0.35">
      <c r="A331" s="4">
        <v>40671</v>
      </c>
      <c r="B331" s="2">
        <v>10498</v>
      </c>
      <c r="C331" s="2">
        <v>132</v>
      </c>
      <c r="D331" s="2">
        <v>51</v>
      </c>
      <c r="E331" s="2">
        <v>23</v>
      </c>
      <c r="F331" s="2">
        <v>1</v>
      </c>
      <c r="G331" s="2">
        <v>1</v>
      </c>
      <c r="H331" s="2">
        <v>1221</v>
      </c>
      <c r="I331" s="2">
        <v>25</v>
      </c>
      <c r="J331" t="str">
        <f>_xlfn.XLOOKUP(Table2[[#This Row],[Customer_ID]],Table1[Customer_ID],Table1[Customer_Name])</f>
        <v>Gladis Hasan</v>
      </c>
    </row>
    <row r="332" spans="1:10" x14ac:dyDescent="0.35">
      <c r="A332" s="4">
        <v>40673</v>
      </c>
      <c r="B332" s="2">
        <v>10500</v>
      </c>
      <c r="C332" s="2">
        <v>361</v>
      </c>
      <c r="D332" s="2">
        <v>53</v>
      </c>
      <c r="E332" s="2">
        <v>42</v>
      </c>
      <c r="F332" s="2">
        <v>1</v>
      </c>
      <c r="G332" s="2">
        <v>8</v>
      </c>
      <c r="H332" s="2">
        <v>123</v>
      </c>
      <c r="I332" s="2">
        <v>25</v>
      </c>
      <c r="J332" t="str">
        <f>_xlfn.XLOOKUP(Table2[[#This Row],[Customer_ID]],Table1[Customer_ID],Table1[Customer_Name])</f>
        <v>Gracia Jelks</v>
      </c>
    </row>
    <row r="333" spans="1:10" x14ac:dyDescent="0.35">
      <c r="A333" s="4">
        <v>40673</v>
      </c>
      <c r="B333" s="2">
        <v>10500</v>
      </c>
      <c r="C333" s="2">
        <v>352</v>
      </c>
      <c r="D333" s="2">
        <v>53</v>
      </c>
      <c r="E333" s="2">
        <v>42</v>
      </c>
      <c r="F333" s="2">
        <v>1</v>
      </c>
      <c r="G333" s="2">
        <v>2</v>
      </c>
      <c r="H333" s="2">
        <v>89</v>
      </c>
      <c r="I333" s="2">
        <v>25</v>
      </c>
      <c r="J333" t="str">
        <f>_xlfn.XLOOKUP(Table2[[#This Row],[Customer_ID]],Table1[Customer_ID],Table1[Customer_Name])</f>
        <v>Gracia Jelks</v>
      </c>
    </row>
    <row r="334" spans="1:10" x14ac:dyDescent="0.35">
      <c r="A334" s="4">
        <v>40674</v>
      </c>
      <c r="B334" s="2">
        <v>10502</v>
      </c>
      <c r="C334" s="2">
        <v>284</v>
      </c>
      <c r="D334" s="2">
        <v>55</v>
      </c>
      <c r="E334" s="2">
        <v>53</v>
      </c>
      <c r="F334" s="2">
        <v>1</v>
      </c>
      <c r="G334" s="2">
        <v>2</v>
      </c>
      <c r="H334" s="2">
        <v>9</v>
      </c>
      <c r="I334" s="2">
        <v>25</v>
      </c>
      <c r="J334" t="str">
        <f>_xlfn.XLOOKUP(Table2[[#This Row],[Customer_ID]],Table1[Customer_ID],Table1[Customer_Name])</f>
        <v>Harrison Hugh</v>
      </c>
    </row>
    <row r="335" spans="1:10" x14ac:dyDescent="0.35">
      <c r="A335" s="4">
        <v>40674</v>
      </c>
      <c r="B335" s="2">
        <v>10502</v>
      </c>
      <c r="C335" s="2">
        <v>230</v>
      </c>
      <c r="D335" s="2">
        <v>55</v>
      </c>
      <c r="E335" s="2">
        <v>53</v>
      </c>
      <c r="F335" s="2">
        <v>1</v>
      </c>
      <c r="G335" s="2">
        <v>8</v>
      </c>
      <c r="H335" s="2">
        <v>6</v>
      </c>
      <c r="I335" s="2">
        <v>25</v>
      </c>
      <c r="J335" t="str">
        <f>_xlfn.XLOOKUP(Table2[[#This Row],[Customer_ID]],Table1[Customer_ID],Table1[Customer_Name])</f>
        <v>Harrison Hugh</v>
      </c>
    </row>
    <row r="336" spans="1:10" x14ac:dyDescent="0.35">
      <c r="A336" s="4">
        <v>40674</v>
      </c>
      <c r="B336" s="2">
        <v>10502</v>
      </c>
      <c r="C336" s="2">
        <v>373</v>
      </c>
      <c r="D336" s="2">
        <v>55</v>
      </c>
      <c r="E336" s="2">
        <v>53</v>
      </c>
      <c r="F336" s="2">
        <v>1</v>
      </c>
      <c r="G336" s="2">
        <v>6</v>
      </c>
      <c r="H336" s="2">
        <v>6</v>
      </c>
      <c r="I336" s="2">
        <v>25</v>
      </c>
      <c r="J336" t="str">
        <f>_xlfn.XLOOKUP(Table2[[#This Row],[Customer_ID]],Table1[Customer_ID],Table1[Customer_Name])</f>
        <v>Harrison Hugh</v>
      </c>
    </row>
    <row r="337" spans="1:10" x14ac:dyDescent="0.35">
      <c r="A337" s="4">
        <v>40675</v>
      </c>
      <c r="B337" s="2">
        <v>10504</v>
      </c>
      <c r="C337" s="2">
        <v>375</v>
      </c>
      <c r="D337" s="2">
        <v>57</v>
      </c>
      <c r="E337" s="2">
        <v>27</v>
      </c>
      <c r="F337" s="2">
        <v>1</v>
      </c>
      <c r="G337" s="2">
        <v>3</v>
      </c>
      <c r="H337" s="2">
        <v>5</v>
      </c>
      <c r="I337" s="2">
        <v>25</v>
      </c>
      <c r="J337" t="str">
        <f>_xlfn.XLOOKUP(Table2[[#This Row],[Customer_ID]],Table1[Customer_ID],Table1[Customer_Name])</f>
        <v>Ina Iversen</v>
      </c>
    </row>
    <row r="338" spans="1:10" x14ac:dyDescent="0.35">
      <c r="A338" s="4">
        <v>40675</v>
      </c>
      <c r="B338" s="2">
        <v>10504</v>
      </c>
      <c r="C338" s="2">
        <v>381</v>
      </c>
      <c r="D338" s="2">
        <v>57</v>
      </c>
      <c r="E338" s="2">
        <v>27</v>
      </c>
      <c r="F338" s="2">
        <v>1</v>
      </c>
      <c r="G338" s="2">
        <v>2</v>
      </c>
      <c r="H338" s="2">
        <v>10</v>
      </c>
      <c r="I338" s="2">
        <v>25</v>
      </c>
      <c r="J338" t="str">
        <f>_xlfn.XLOOKUP(Table2[[#This Row],[Customer_ID]],Table1[Customer_ID],Table1[Customer_Name])</f>
        <v>Ina Iversen</v>
      </c>
    </row>
    <row r="339" spans="1:10" x14ac:dyDescent="0.35">
      <c r="A339" s="4">
        <v>40675</v>
      </c>
      <c r="B339" s="2">
        <v>10504</v>
      </c>
      <c r="C339" s="2">
        <v>378</v>
      </c>
      <c r="D339" s="2">
        <v>57</v>
      </c>
      <c r="E339" s="2">
        <v>27</v>
      </c>
      <c r="F339" s="2">
        <v>1</v>
      </c>
      <c r="G339" s="2">
        <v>9</v>
      </c>
      <c r="H339" s="2">
        <v>3</v>
      </c>
      <c r="I339" s="2">
        <v>25</v>
      </c>
      <c r="J339" t="str">
        <f>_xlfn.XLOOKUP(Table2[[#This Row],[Customer_ID]],Table1[Customer_ID],Table1[Customer_Name])</f>
        <v>Ina Iversen</v>
      </c>
    </row>
    <row r="340" spans="1:10" x14ac:dyDescent="0.35">
      <c r="A340" s="4">
        <v>40675</v>
      </c>
      <c r="B340" s="2">
        <v>10504</v>
      </c>
      <c r="C340" s="2">
        <v>379</v>
      </c>
      <c r="D340" s="2">
        <v>57</v>
      </c>
      <c r="E340" s="2">
        <v>27</v>
      </c>
      <c r="F340" s="2">
        <v>1</v>
      </c>
      <c r="G340" s="2">
        <v>4</v>
      </c>
      <c r="H340" s="2">
        <v>4</v>
      </c>
      <c r="I340" s="2">
        <v>25</v>
      </c>
      <c r="J340" t="str">
        <f>_xlfn.XLOOKUP(Table2[[#This Row],[Customer_ID]],Table1[Customer_ID],Table1[Customer_Name])</f>
        <v>Ina Iversen</v>
      </c>
    </row>
    <row r="341" spans="1:10" x14ac:dyDescent="0.35">
      <c r="A341" s="4">
        <v>40679</v>
      </c>
      <c r="B341" s="2">
        <v>10506</v>
      </c>
      <c r="C341" s="2">
        <v>374</v>
      </c>
      <c r="D341" s="2">
        <v>59</v>
      </c>
      <c r="E341" s="2">
        <v>78</v>
      </c>
      <c r="F341" s="2">
        <v>1</v>
      </c>
      <c r="G341" s="2">
        <v>5</v>
      </c>
      <c r="H341" s="2">
        <v>9</v>
      </c>
      <c r="I341" s="2">
        <v>25</v>
      </c>
      <c r="J341" t="str">
        <f>_xlfn.XLOOKUP(Table2[[#This Row],[Customer_ID]],Table1[Customer_ID],Table1[Customer_Name])</f>
        <v>Janella Vallo</v>
      </c>
    </row>
    <row r="342" spans="1:10" x14ac:dyDescent="0.35">
      <c r="A342" s="4">
        <v>40679</v>
      </c>
      <c r="B342" s="2">
        <v>10506</v>
      </c>
      <c r="C342" s="2">
        <v>380</v>
      </c>
      <c r="D342" s="2">
        <v>59</v>
      </c>
      <c r="E342" s="2">
        <v>78</v>
      </c>
      <c r="F342" s="2">
        <v>1</v>
      </c>
      <c r="G342" s="2">
        <v>6</v>
      </c>
      <c r="H342" s="2">
        <v>9</v>
      </c>
      <c r="I342" s="2">
        <v>25</v>
      </c>
      <c r="J342" t="str">
        <f>_xlfn.XLOOKUP(Table2[[#This Row],[Customer_ID]],Table1[Customer_ID],Table1[Customer_Name])</f>
        <v>Janella Vallo</v>
      </c>
    </row>
    <row r="343" spans="1:10" x14ac:dyDescent="0.35">
      <c r="A343" s="4">
        <v>40680</v>
      </c>
      <c r="B343" s="2">
        <v>10508</v>
      </c>
      <c r="C343" s="2">
        <v>356</v>
      </c>
      <c r="D343" s="2">
        <v>61</v>
      </c>
      <c r="E343" s="2">
        <v>23</v>
      </c>
      <c r="F343" s="2">
        <v>1</v>
      </c>
      <c r="G343" s="2">
        <v>1</v>
      </c>
      <c r="H343" s="2">
        <v>12</v>
      </c>
      <c r="I343" s="2">
        <v>25</v>
      </c>
      <c r="J343" t="str">
        <f>_xlfn.XLOOKUP(Table2[[#This Row],[Customer_ID]],Table1[Customer_ID],Table1[Customer_Name])</f>
        <v>Jeanelle Joynes</v>
      </c>
    </row>
    <row r="344" spans="1:10" x14ac:dyDescent="0.35">
      <c r="A344" s="4">
        <v>40680</v>
      </c>
      <c r="B344" s="2">
        <v>10508</v>
      </c>
      <c r="C344" s="2">
        <v>271</v>
      </c>
      <c r="D344" s="2">
        <v>61</v>
      </c>
      <c r="E344" s="2">
        <v>23</v>
      </c>
      <c r="F344" s="2">
        <v>1</v>
      </c>
      <c r="G344" s="2">
        <v>1</v>
      </c>
      <c r="H344" s="2">
        <v>3</v>
      </c>
      <c r="I344" s="2">
        <v>25</v>
      </c>
      <c r="J344" t="str">
        <f>_xlfn.XLOOKUP(Table2[[#This Row],[Customer_ID]],Table1[Customer_ID],Table1[Customer_Name])</f>
        <v>Jeanelle Joynes</v>
      </c>
    </row>
    <row r="345" spans="1:10" x14ac:dyDescent="0.35">
      <c r="A345" s="4">
        <v>40682</v>
      </c>
      <c r="B345" s="2">
        <v>10510</v>
      </c>
      <c r="C345" s="2">
        <v>273</v>
      </c>
      <c r="D345" s="2">
        <v>63</v>
      </c>
      <c r="E345" s="2">
        <v>33</v>
      </c>
      <c r="F345" s="2">
        <v>1</v>
      </c>
      <c r="G345" s="2">
        <v>3</v>
      </c>
      <c r="H345" s="2">
        <v>3</v>
      </c>
      <c r="I345" s="2">
        <v>25</v>
      </c>
      <c r="J345" t="str">
        <f>_xlfn.XLOOKUP(Table2[[#This Row],[Customer_ID]],Table1[Customer_ID],Table1[Customer_Name])</f>
        <v>Johnathon Tucker</v>
      </c>
    </row>
    <row r="346" spans="1:10" x14ac:dyDescent="0.35">
      <c r="A346" s="4">
        <v>40682</v>
      </c>
      <c r="B346" s="2">
        <v>10510</v>
      </c>
      <c r="C346" s="2">
        <v>267</v>
      </c>
      <c r="D346" s="2">
        <v>63</v>
      </c>
      <c r="E346" s="2">
        <v>33</v>
      </c>
      <c r="F346" s="2">
        <v>1</v>
      </c>
      <c r="G346" s="2">
        <v>4</v>
      </c>
      <c r="H346" s="2">
        <v>3</v>
      </c>
      <c r="I346" s="2">
        <v>25</v>
      </c>
      <c r="J346" t="str">
        <f>_xlfn.XLOOKUP(Table2[[#This Row],[Customer_ID]],Table1[Customer_ID],Table1[Customer_Name])</f>
        <v>Johnathon Tucker</v>
      </c>
    </row>
    <row r="347" spans="1:10" x14ac:dyDescent="0.35">
      <c r="A347" s="4">
        <v>40685</v>
      </c>
      <c r="B347" s="2">
        <v>10512</v>
      </c>
      <c r="C347" s="2">
        <v>310</v>
      </c>
      <c r="D347" s="2">
        <v>65</v>
      </c>
      <c r="E347" s="2">
        <v>31</v>
      </c>
      <c r="F347" s="2">
        <v>1</v>
      </c>
      <c r="G347" s="2">
        <v>2</v>
      </c>
      <c r="H347" s="2">
        <v>39</v>
      </c>
      <c r="I347" s="2">
        <v>25</v>
      </c>
      <c r="J347" t="str">
        <f>_xlfn.XLOOKUP(Table2[[#This Row],[Customer_ID]],Table1[Customer_ID],Table1[Customer_Name])</f>
        <v>Judie Sawicki</v>
      </c>
    </row>
    <row r="348" spans="1:10" x14ac:dyDescent="0.35">
      <c r="A348" s="4">
        <v>40685</v>
      </c>
      <c r="B348" s="2">
        <v>10512</v>
      </c>
      <c r="C348" s="2">
        <v>422</v>
      </c>
      <c r="D348" s="2">
        <v>65</v>
      </c>
      <c r="E348" s="2">
        <v>31</v>
      </c>
      <c r="F348" s="2">
        <v>1</v>
      </c>
      <c r="G348" s="2">
        <v>3</v>
      </c>
      <c r="H348" s="2">
        <v>7</v>
      </c>
      <c r="I348" s="2">
        <v>25</v>
      </c>
      <c r="J348" t="str">
        <f>_xlfn.XLOOKUP(Table2[[#This Row],[Customer_ID]],Table1[Customer_ID],Table1[Customer_Name])</f>
        <v>Judie Sawicki</v>
      </c>
    </row>
    <row r="349" spans="1:10" x14ac:dyDescent="0.35">
      <c r="A349" s="4">
        <v>40685</v>
      </c>
      <c r="B349" s="2">
        <v>10512</v>
      </c>
      <c r="C349" s="2">
        <v>309</v>
      </c>
      <c r="D349" s="2">
        <v>65</v>
      </c>
      <c r="E349" s="2">
        <v>31</v>
      </c>
      <c r="F349" s="2">
        <v>1</v>
      </c>
      <c r="G349" s="2">
        <v>6</v>
      </c>
      <c r="H349" s="2">
        <v>39</v>
      </c>
      <c r="I349" s="2">
        <v>25</v>
      </c>
      <c r="J349" t="str">
        <f>_xlfn.XLOOKUP(Table2[[#This Row],[Customer_ID]],Table1[Customer_ID],Table1[Customer_Name])</f>
        <v>Judie Sawicki</v>
      </c>
    </row>
    <row r="350" spans="1:10" x14ac:dyDescent="0.35">
      <c r="A350" s="4">
        <v>40685</v>
      </c>
      <c r="B350" s="2">
        <v>10512</v>
      </c>
      <c r="C350" s="2">
        <v>424</v>
      </c>
      <c r="D350" s="2">
        <v>65</v>
      </c>
      <c r="E350" s="2">
        <v>31</v>
      </c>
      <c r="F350" s="2">
        <v>1</v>
      </c>
      <c r="G350" s="2">
        <v>2</v>
      </c>
      <c r="H350" s="2">
        <v>12</v>
      </c>
      <c r="I350" s="2">
        <v>25</v>
      </c>
      <c r="J350" t="str">
        <f>_xlfn.XLOOKUP(Table2[[#This Row],[Customer_ID]],Table1[Customer_ID],Table1[Customer_Name])</f>
        <v>Judie Sawicki</v>
      </c>
    </row>
    <row r="351" spans="1:10" x14ac:dyDescent="0.35">
      <c r="A351" s="4">
        <v>40686</v>
      </c>
      <c r="B351" s="2">
        <v>10514</v>
      </c>
      <c r="C351" s="2">
        <v>217</v>
      </c>
      <c r="D351" s="2">
        <v>67</v>
      </c>
      <c r="F351" s="2">
        <v>1</v>
      </c>
      <c r="G351" s="2">
        <v>5</v>
      </c>
      <c r="H351" s="2">
        <v>4</v>
      </c>
      <c r="I351" s="2">
        <v>25</v>
      </c>
      <c r="J351" t="str">
        <f>_xlfn.XLOOKUP(Table2[[#This Row],[Customer_ID]],Table1[Customer_ID],Table1[Customer_Name])</f>
        <v>Kaitlyn Killian</v>
      </c>
    </row>
    <row r="352" spans="1:10" x14ac:dyDescent="0.35">
      <c r="A352" s="4">
        <v>40686</v>
      </c>
      <c r="B352" s="2">
        <v>10514</v>
      </c>
      <c r="C352" s="2">
        <v>272</v>
      </c>
      <c r="D352" s="2">
        <v>67</v>
      </c>
      <c r="F352" s="2">
        <v>1</v>
      </c>
      <c r="G352" s="2">
        <v>7</v>
      </c>
      <c r="H352" s="2">
        <v>2</v>
      </c>
      <c r="I352" s="2">
        <v>25</v>
      </c>
      <c r="J352" t="str">
        <f>_xlfn.XLOOKUP(Table2[[#This Row],[Customer_ID]],Table1[Customer_ID],Table1[Customer_Name])</f>
        <v>Kaitlyn Killian</v>
      </c>
    </row>
    <row r="353" spans="1:10" x14ac:dyDescent="0.35">
      <c r="A353" s="4">
        <v>40686</v>
      </c>
      <c r="B353" s="2">
        <v>10514</v>
      </c>
      <c r="C353" s="2">
        <v>406</v>
      </c>
      <c r="D353" s="2">
        <v>67</v>
      </c>
      <c r="F353" s="2">
        <v>1</v>
      </c>
      <c r="G353" s="2">
        <v>2</v>
      </c>
      <c r="H353" s="2">
        <v>20</v>
      </c>
      <c r="I353" s="2">
        <v>25</v>
      </c>
      <c r="J353" t="str">
        <f>_xlfn.XLOOKUP(Table2[[#This Row],[Customer_ID]],Table1[Customer_ID],Table1[Customer_Name])</f>
        <v>Kaitlyn Killian</v>
      </c>
    </row>
    <row r="354" spans="1:10" x14ac:dyDescent="0.35">
      <c r="A354" s="4">
        <v>40686</v>
      </c>
      <c r="B354" s="2">
        <v>10514</v>
      </c>
      <c r="C354" s="2">
        <v>407</v>
      </c>
      <c r="D354" s="2">
        <v>67</v>
      </c>
      <c r="F354" s="2">
        <v>1</v>
      </c>
      <c r="G354" s="2">
        <v>2</v>
      </c>
      <c r="H354" s="2">
        <v>16</v>
      </c>
      <c r="I354" s="2">
        <v>25</v>
      </c>
      <c r="J354" t="str">
        <f>_xlfn.XLOOKUP(Table2[[#This Row],[Customer_ID]],Table1[Customer_ID],Table1[Customer_Name])</f>
        <v>Kaitlyn Killian</v>
      </c>
    </row>
    <row r="355" spans="1:10" x14ac:dyDescent="0.35">
      <c r="A355" s="4">
        <v>40686</v>
      </c>
      <c r="B355" s="2">
        <v>10514</v>
      </c>
      <c r="C355" s="2">
        <v>220</v>
      </c>
      <c r="D355" s="2">
        <v>67</v>
      </c>
      <c r="F355" s="2">
        <v>1</v>
      </c>
      <c r="G355" s="2">
        <v>5</v>
      </c>
      <c r="H355" s="2">
        <v>5</v>
      </c>
      <c r="I355" s="2">
        <v>25</v>
      </c>
      <c r="J355" t="str">
        <f>_xlfn.XLOOKUP(Table2[[#This Row],[Customer_ID]],Table1[Customer_ID],Table1[Customer_Name])</f>
        <v>Kaitlyn Killian</v>
      </c>
    </row>
    <row r="356" spans="1:10" x14ac:dyDescent="0.35">
      <c r="A356" s="4">
        <v>40688</v>
      </c>
      <c r="B356" s="2">
        <v>10516</v>
      </c>
      <c r="C356" s="2">
        <v>279</v>
      </c>
      <c r="D356" s="2">
        <v>69</v>
      </c>
      <c r="F356" s="2">
        <v>1</v>
      </c>
      <c r="G356" s="2">
        <v>2</v>
      </c>
      <c r="H356" s="2">
        <v>4</v>
      </c>
      <c r="I356" s="2">
        <v>25</v>
      </c>
      <c r="J356" t="str">
        <f>_xlfn.XLOOKUP(Table2[[#This Row],[Customer_ID]],Table1[Customer_ID],Table1[Customer_Name])</f>
        <v>Kareem Koser</v>
      </c>
    </row>
    <row r="357" spans="1:10" x14ac:dyDescent="0.35">
      <c r="A357" s="4">
        <v>40688</v>
      </c>
      <c r="B357" s="2">
        <v>10516</v>
      </c>
      <c r="C357" s="2">
        <v>282</v>
      </c>
      <c r="D357" s="2">
        <v>69</v>
      </c>
      <c r="F357" s="2">
        <v>1</v>
      </c>
      <c r="G357" s="2">
        <v>1</v>
      </c>
      <c r="H357" s="2">
        <v>3</v>
      </c>
      <c r="I357" s="2">
        <v>25</v>
      </c>
      <c r="J357" t="str">
        <f>_xlfn.XLOOKUP(Table2[[#This Row],[Customer_ID]],Table1[Customer_ID],Table1[Customer_Name])</f>
        <v>Kareem Koser</v>
      </c>
    </row>
    <row r="358" spans="1:10" x14ac:dyDescent="0.35">
      <c r="A358" s="4">
        <v>40688</v>
      </c>
      <c r="B358" s="2">
        <v>10516</v>
      </c>
      <c r="C358" s="2">
        <v>275</v>
      </c>
      <c r="D358" s="2">
        <v>69</v>
      </c>
      <c r="F358" s="2">
        <v>1</v>
      </c>
      <c r="G358" s="2">
        <v>1</v>
      </c>
      <c r="H358" s="2">
        <v>3</v>
      </c>
      <c r="I358" s="2">
        <v>25</v>
      </c>
      <c r="J358" t="str">
        <f>_xlfn.XLOOKUP(Table2[[#This Row],[Customer_ID]],Table1[Customer_ID],Table1[Customer_Name])</f>
        <v>Kareem Koser</v>
      </c>
    </row>
    <row r="359" spans="1:10" x14ac:dyDescent="0.35">
      <c r="A359" s="4">
        <v>40689</v>
      </c>
      <c r="B359" s="2">
        <v>10518</v>
      </c>
      <c r="C359" s="2">
        <v>136</v>
      </c>
      <c r="D359" s="2">
        <v>71</v>
      </c>
      <c r="F359" s="2">
        <v>1</v>
      </c>
      <c r="G359" s="2">
        <v>2</v>
      </c>
      <c r="H359" s="2">
        <v>90</v>
      </c>
      <c r="I359" s="2">
        <v>25</v>
      </c>
      <c r="J359" t="str">
        <f>_xlfn.XLOOKUP(Table2[[#This Row],[Customer_ID]],Table1[Customer_ID],Table1[Customer_Name])</f>
        <v>Karissa Kircher</v>
      </c>
    </row>
    <row r="360" spans="1:10" x14ac:dyDescent="0.35">
      <c r="A360" s="4">
        <v>40689</v>
      </c>
      <c r="B360" s="2">
        <v>10518</v>
      </c>
      <c r="C360" s="2">
        <v>134</v>
      </c>
      <c r="D360" s="2">
        <v>71</v>
      </c>
      <c r="F360" s="2">
        <v>1</v>
      </c>
      <c r="G360" s="2">
        <v>1</v>
      </c>
      <c r="H360" s="2">
        <v>90</v>
      </c>
      <c r="I360" s="2">
        <v>25</v>
      </c>
      <c r="J360" t="str">
        <f>_xlfn.XLOOKUP(Table2[[#This Row],[Customer_ID]],Table1[Customer_ID],Table1[Customer_Name])</f>
        <v>Karissa Kircher</v>
      </c>
    </row>
    <row r="361" spans="1:10" x14ac:dyDescent="0.35">
      <c r="A361" s="4">
        <v>40689</v>
      </c>
      <c r="B361" s="2">
        <v>10518</v>
      </c>
      <c r="C361" s="2">
        <v>148</v>
      </c>
      <c r="D361" s="2">
        <v>71</v>
      </c>
      <c r="F361" s="2">
        <v>1</v>
      </c>
      <c r="G361" s="2">
        <v>8</v>
      </c>
      <c r="H361" s="2">
        <v>444</v>
      </c>
      <c r="I361" s="2">
        <v>25</v>
      </c>
      <c r="J361" t="str">
        <f>_xlfn.XLOOKUP(Table2[[#This Row],[Customer_ID]],Table1[Customer_ID],Table1[Customer_Name])</f>
        <v>Karissa Kircher</v>
      </c>
    </row>
    <row r="362" spans="1:10" x14ac:dyDescent="0.35">
      <c r="A362" s="4">
        <v>40693</v>
      </c>
      <c r="B362" s="2">
        <v>10520</v>
      </c>
      <c r="C362" s="2">
        <v>149</v>
      </c>
      <c r="D362" s="2">
        <v>73</v>
      </c>
      <c r="F362" s="2">
        <v>1</v>
      </c>
      <c r="G362" s="2">
        <v>5</v>
      </c>
      <c r="H362" s="2">
        <v>717</v>
      </c>
      <c r="I362" s="2">
        <v>25</v>
      </c>
      <c r="J362" t="str">
        <f>_xlfn.XLOOKUP(Table2[[#This Row],[Customer_ID]],Table1[Customer_ID],Table1[Customer_Name])</f>
        <v>Katharine Pearcy</v>
      </c>
    </row>
    <row r="363" spans="1:10" x14ac:dyDescent="0.35">
      <c r="A363" s="4">
        <v>40693</v>
      </c>
      <c r="B363" s="2">
        <v>10520</v>
      </c>
      <c r="C363" s="2">
        <v>163</v>
      </c>
      <c r="D363" s="2">
        <v>73</v>
      </c>
      <c r="F363" s="2">
        <v>1</v>
      </c>
      <c r="G363" s="2">
        <v>9</v>
      </c>
      <c r="H363" s="2">
        <v>2533</v>
      </c>
      <c r="I363" s="2">
        <v>25</v>
      </c>
      <c r="J363" t="str">
        <f>_xlfn.XLOOKUP(Table2[[#This Row],[Customer_ID]],Table1[Customer_ID],Table1[Customer_Name])</f>
        <v>Katharine Pearcy</v>
      </c>
    </row>
    <row r="364" spans="1:10" x14ac:dyDescent="0.35">
      <c r="A364" s="4">
        <v>40694</v>
      </c>
      <c r="B364" s="2">
        <v>10522</v>
      </c>
      <c r="C364" s="2">
        <v>429</v>
      </c>
      <c r="D364" s="2">
        <v>75</v>
      </c>
      <c r="F364" s="2">
        <v>1</v>
      </c>
      <c r="G364" s="2">
        <v>1</v>
      </c>
      <c r="H364" s="2">
        <v>14</v>
      </c>
      <c r="I364" s="2">
        <v>25</v>
      </c>
      <c r="J364" t="str">
        <f>_xlfn.XLOOKUP(Table2[[#This Row],[Customer_ID]],Table1[Customer_ID],Table1[Customer_Name])</f>
        <v>Keisha Koh</v>
      </c>
    </row>
    <row r="365" spans="1:10" x14ac:dyDescent="0.35">
      <c r="A365" s="4">
        <v>40694</v>
      </c>
      <c r="B365" s="2">
        <v>10522</v>
      </c>
      <c r="C365" s="2">
        <v>433</v>
      </c>
      <c r="D365" s="2">
        <v>75</v>
      </c>
      <c r="F365" s="2">
        <v>1</v>
      </c>
      <c r="G365" s="2">
        <v>6</v>
      </c>
      <c r="H365" s="2">
        <v>14</v>
      </c>
      <c r="I365" s="2">
        <v>25</v>
      </c>
      <c r="J365" t="str">
        <f>_xlfn.XLOOKUP(Table2[[#This Row],[Customer_ID]],Table1[Customer_ID],Table1[Customer_Name])</f>
        <v>Keisha Koh</v>
      </c>
    </row>
    <row r="366" spans="1:10" x14ac:dyDescent="0.35">
      <c r="A366" s="4">
        <v>40694</v>
      </c>
      <c r="B366" s="2">
        <v>10522</v>
      </c>
      <c r="C366" s="2">
        <v>19</v>
      </c>
      <c r="D366" s="2">
        <v>75</v>
      </c>
      <c r="F366" s="2">
        <v>1</v>
      </c>
      <c r="G366" s="2">
        <v>1</v>
      </c>
      <c r="H366" s="2">
        <v>129</v>
      </c>
      <c r="I366" s="2">
        <v>25</v>
      </c>
      <c r="J366" t="str">
        <f>_xlfn.XLOOKUP(Table2[[#This Row],[Customer_ID]],Table1[Customer_ID],Table1[Customer_Name])</f>
        <v>Keisha Koh</v>
      </c>
    </row>
    <row r="367" spans="1:10" x14ac:dyDescent="0.35">
      <c r="A367" s="4">
        <v>40694</v>
      </c>
      <c r="B367" s="2">
        <v>10522</v>
      </c>
      <c r="C367" s="2">
        <v>439</v>
      </c>
      <c r="D367" s="2">
        <v>75</v>
      </c>
      <c r="F367" s="2">
        <v>1</v>
      </c>
      <c r="G367" s="2">
        <v>1</v>
      </c>
      <c r="H367" s="2">
        <v>10</v>
      </c>
      <c r="I367" s="2">
        <v>25</v>
      </c>
      <c r="J367" t="str">
        <f>_xlfn.XLOOKUP(Table2[[#This Row],[Customer_ID]],Table1[Customer_ID],Table1[Customer_Name])</f>
        <v>Keisha Koh</v>
      </c>
    </row>
    <row r="368" spans="1:10" x14ac:dyDescent="0.35">
      <c r="A368" s="4">
        <v>40695</v>
      </c>
      <c r="B368" s="2">
        <v>10524</v>
      </c>
      <c r="C368" s="2">
        <v>14</v>
      </c>
      <c r="D368" s="2">
        <v>77</v>
      </c>
      <c r="F368" s="2">
        <v>1</v>
      </c>
      <c r="G368" s="2">
        <v>3</v>
      </c>
      <c r="H368" s="2">
        <v>482</v>
      </c>
      <c r="I368" s="2">
        <v>25</v>
      </c>
      <c r="J368" t="str">
        <f>_xlfn.XLOOKUP(Table2[[#This Row],[Customer_ID]],Table1[Customer_ID],Table1[Customer_Name])</f>
        <v>Kyla Danek</v>
      </c>
    </row>
    <row r="369" spans="1:10" x14ac:dyDescent="0.35">
      <c r="A369" s="4">
        <v>40695</v>
      </c>
      <c r="B369" s="2">
        <v>10524</v>
      </c>
      <c r="C369" s="2">
        <v>32</v>
      </c>
      <c r="D369" s="2">
        <v>77</v>
      </c>
      <c r="F369" s="2">
        <v>1</v>
      </c>
      <c r="G369" s="2">
        <v>3</v>
      </c>
      <c r="H369" s="2">
        <v>5</v>
      </c>
      <c r="I369" s="2">
        <v>25</v>
      </c>
      <c r="J369" t="str">
        <f>_xlfn.XLOOKUP(Table2[[#This Row],[Customer_ID]],Table1[Customer_ID],Table1[Customer_Name])</f>
        <v>Kyla Danek</v>
      </c>
    </row>
    <row r="370" spans="1:10" x14ac:dyDescent="0.35">
      <c r="A370" s="4">
        <v>40695</v>
      </c>
      <c r="B370" s="2">
        <v>10524</v>
      </c>
      <c r="C370" s="2">
        <v>13</v>
      </c>
      <c r="D370" s="2">
        <v>77</v>
      </c>
      <c r="F370" s="2">
        <v>1</v>
      </c>
      <c r="G370" s="2">
        <v>7</v>
      </c>
      <c r="H370" s="2">
        <v>446</v>
      </c>
      <c r="I370" s="2">
        <v>25</v>
      </c>
      <c r="J370" t="str">
        <f>_xlfn.XLOOKUP(Table2[[#This Row],[Customer_ID]],Table1[Customer_ID],Table1[Customer_Name])</f>
        <v>Kyla Danek</v>
      </c>
    </row>
    <row r="371" spans="1:10" x14ac:dyDescent="0.35">
      <c r="A371" s="4">
        <v>40695</v>
      </c>
      <c r="B371" s="2">
        <v>10524</v>
      </c>
      <c r="C371" s="2">
        <v>18</v>
      </c>
      <c r="D371" s="2">
        <v>77</v>
      </c>
      <c r="F371" s="2">
        <v>1</v>
      </c>
      <c r="G371" s="2">
        <v>1</v>
      </c>
      <c r="H371" s="2">
        <v>154</v>
      </c>
      <c r="I371" s="2">
        <v>25</v>
      </c>
      <c r="J371" t="str">
        <f>_xlfn.XLOOKUP(Table2[[#This Row],[Customer_ID]],Table1[Customer_ID],Table1[Customer_Name])</f>
        <v>Kyla Danek</v>
      </c>
    </row>
    <row r="372" spans="1:10" x14ac:dyDescent="0.35">
      <c r="A372" s="4">
        <v>40699</v>
      </c>
      <c r="B372" s="2">
        <v>10526</v>
      </c>
      <c r="C372" s="2">
        <v>16</v>
      </c>
      <c r="D372" s="2">
        <v>79</v>
      </c>
      <c r="F372" s="2">
        <v>1</v>
      </c>
      <c r="G372" s="2">
        <v>1</v>
      </c>
      <c r="H372" s="2">
        <v>351</v>
      </c>
      <c r="I372" s="2">
        <v>25</v>
      </c>
      <c r="J372" t="str">
        <f>_xlfn.XLOOKUP(Table2[[#This Row],[Customer_ID]],Table1[Customer_ID],Table1[Customer_Name])</f>
        <v>Lala Ladue</v>
      </c>
    </row>
    <row r="373" spans="1:10" x14ac:dyDescent="0.35">
      <c r="A373" s="4">
        <v>40699</v>
      </c>
      <c r="B373" s="2">
        <v>10526</v>
      </c>
      <c r="C373" s="2">
        <v>48</v>
      </c>
      <c r="D373" s="2">
        <v>79</v>
      </c>
      <c r="F373" s="2">
        <v>1</v>
      </c>
      <c r="G373" s="2">
        <v>4</v>
      </c>
      <c r="H373" s="2">
        <v>3</v>
      </c>
      <c r="I373" s="2">
        <v>25</v>
      </c>
      <c r="J373" t="str">
        <f>_xlfn.XLOOKUP(Table2[[#This Row],[Customer_ID]],Table1[Customer_ID],Table1[Customer_Name])</f>
        <v>Lala Ladue</v>
      </c>
    </row>
    <row r="374" spans="1:10" x14ac:dyDescent="0.35">
      <c r="A374" s="4">
        <v>40699</v>
      </c>
      <c r="B374" s="2">
        <v>10526</v>
      </c>
      <c r="C374" s="2">
        <v>36</v>
      </c>
      <c r="D374" s="2">
        <v>79</v>
      </c>
      <c r="F374" s="2">
        <v>1</v>
      </c>
      <c r="G374" s="2">
        <v>2</v>
      </c>
      <c r="H374" s="2">
        <v>10</v>
      </c>
      <c r="I374" s="2">
        <v>25</v>
      </c>
      <c r="J374" t="str">
        <f>_xlfn.XLOOKUP(Table2[[#This Row],[Customer_ID]],Table1[Customer_ID],Table1[Customer_Name])</f>
        <v>Lala Ladue</v>
      </c>
    </row>
    <row r="375" spans="1:10" x14ac:dyDescent="0.35">
      <c r="A375" s="4">
        <v>40700</v>
      </c>
      <c r="B375" s="2">
        <v>10528</v>
      </c>
      <c r="C375" s="2">
        <v>145</v>
      </c>
      <c r="D375" s="2">
        <v>81</v>
      </c>
      <c r="F375" s="2">
        <v>1</v>
      </c>
      <c r="G375" s="2">
        <v>8</v>
      </c>
      <c r="H375" s="2">
        <v>66</v>
      </c>
      <c r="I375" s="2">
        <v>25</v>
      </c>
      <c r="J375" t="str">
        <f>_xlfn.XLOOKUP(Table2[[#This Row],[Customer_ID]],Table1[Customer_ID],Table1[Customer_Name])</f>
        <v>Leanne Lockhart</v>
      </c>
    </row>
    <row r="376" spans="1:10" x14ac:dyDescent="0.35">
      <c r="A376" s="4">
        <v>40700</v>
      </c>
      <c r="B376" s="2">
        <v>10528</v>
      </c>
      <c r="C376" s="2">
        <v>308</v>
      </c>
      <c r="D376" s="2">
        <v>81</v>
      </c>
      <c r="F376" s="2">
        <v>1</v>
      </c>
      <c r="G376" s="2">
        <v>1</v>
      </c>
      <c r="H376" s="2">
        <v>29</v>
      </c>
      <c r="I376" s="2">
        <v>25</v>
      </c>
      <c r="J376" t="str">
        <f>_xlfn.XLOOKUP(Table2[[#This Row],[Customer_ID]],Table1[Customer_ID],Table1[Customer_Name])</f>
        <v>Leanne Lockhart</v>
      </c>
    </row>
    <row r="377" spans="1:10" x14ac:dyDescent="0.35">
      <c r="A377" s="4">
        <v>40700</v>
      </c>
      <c r="B377" s="2">
        <v>10528</v>
      </c>
      <c r="C377" s="2">
        <v>408</v>
      </c>
      <c r="D377" s="2">
        <v>81</v>
      </c>
      <c r="F377" s="2">
        <v>1</v>
      </c>
      <c r="G377" s="2">
        <v>2</v>
      </c>
      <c r="H377" s="2">
        <v>20</v>
      </c>
      <c r="I377" s="2">
        <v>25</v>
      </c>
      <c r="J377" t="str">
        <f>_xlfn.XLOOKUP(Table2[[#This Row],[Customer_ID]],Table1[Customer_ID],Table1[Customer_Name])</f>
        <v>Leanne Lockhart</v>
      </c>
    </row>
    <row r="378" spans="1:10" x14ac:dyDescent="0.35">
      <c r="A378" s="4">
        <v>40702</v>
      </c>
      <c r="B378" s="2">
        <v>10530</v>
      </c>
      <c r="C378" s="2">
        <v>174</v>
      </c>
      <c r="D378" s="2">
        <v>83</v>
      </c>
      <c r="F378" s="2">
        <v>1</v>
      </c>
      <c r="G378" s="2">
        <v>2</v>
      </c>
      <c r="H378" s="2">
        <v>1486</v>
      </c>
      <c r="I378" s="2">
        <v>25</v>
      </c>
      <c r="J378" t="str">
        <f>_xlfn.XLOOKUP(Table2[[#This Row],[Customer_ID]],Table1[Customer_ID],Table1[Customer_Name])</f>
        <v>Lily Weatherford</v>
      </c>
    </row>
    <row r="379" spans="1:10" x14ac:dyDescent="0.35">
      <c r="A379" s="4">
        <v>40702</v>
      </c>
      <c r="B379" s="2">
        <v>10530</v>
      </c>
      <c r="C379" s="2">
        <v>135</v>
      </c>
      <c r="D379" s="2">
        <v>83</v>
      </c>
      <c r="F379" s="2">
        <v>1</v>
      </c>
      <c r="G379" s="2">
        <v>1</v>
      </c>
      <c r="H379" s="2">
        <v>141</v>
      </c>
      <c r="I379" s="2">
        <v>25</v>
      </c>
      <c r="J379" t="str">
        <f>_xlfn.XLOOKUP(Table2[[#This Row],[Customer_ID]],Table1[Customer_ID],Table1[Customer_Name])</f>
        <v>Lily Weatherford</v>
      </c>
    </row>
    <row r="380" spans="1:10" x14ac:dyDescent="0.35">
      <c r="A380" s="4">
        <v>40702</v>
      </c>
      <c r="B380" s="2">
        <v>10530</v>
      </c>
      <c r="C380" s="2">
        <v>165</v>
      </c>
      <c r="D380" s="2">
        <v>83</v>
      </c>
      <c r="F380" s="2">
        <v>1</v>
      </c>
      <c r="G380" s="2">
        <v>3</v>
      </c>
      <c r="H380" s="2">
        <v>202</v>
      </c>
      <c r="I380" s="2">
        <v>25</v>
      </c>
      <c r="J380" t="str">
        <f>_xlfn.XLOOKUP(Table2[[#This Row],[Customer_ID]],Table1[Customer_ID],Table1[Customer_Name])</f>
        <v>Lily Weatherford</v>
      </c>
    </row>
    <row r="381" spans="1:10" x14ac:dyDescent="0.35">
      <c r="A381" s="4">
        <v>40702</v>
      </c>
      <c r="B381" s="2">
        <v>10530</v>
      </c>
      <c r="C381" s="2">
        <v>168</v>
      </c>
      <c r="D381" s="2">
        <v>83</v>
      </c>
      <c r="F381" s="2">
        <v>1</v>
      </c>
      <c r="G381" s="2">
        <v>2</v>
      </c>
      <c r="H381" s="2">
        <v>205</v>
      </c>
      <c r="I381" s="2">
        <v>25</v>
      </c>
      <c r="J381" t="str">
        <f>_xlfn.XLOOKUP(Table2[[#This Row],[Customer_ID]],Table1[Customer_ID],Table1[Customer_Name])</f>
        <v>Lily Weatherford</v>
      </c>
    </row>
    <row r="382" spans="1:10" x14ac:dyDescent="0.35">
      <c r="A382" s="4">
        <v>40703</v>
      </c>
      <c r="B382" s="2">
        <v>10532</v>
      </c>
      <c r="C382" s="2">
        <v>173</v>
      </c>
      <c r="D382" s="2">
        <v>85</v>
      </c>
      <c r="F382" s="2">
        <v>1</v>
      </c>
      <c r="G382" s="2">
        <v>1</v>
      </c>
      <c r="H382" s="2">
        <v>205</v>
      </c>
      <c r="I382" s="2">
        <v>25</v>
      </c>
      <c r="J382" t="str">
        <f>_xlfn.XLOOKUP(Table2[[#This Row],[Customer_ID]],Table1[Customer_ID],Table1[Customer_Name])</f>
        <v>Lissette Layton</v>
      </c>
    </row>
    <row r="383" spans="1:10" x14ac:dyDescent="0.35">
      <c r="A383" s="4">
        <v>40703</v>
      </c>
      <c r="B383" s="2">
        <v>10532</v>
      </c>
      <c r="C383" s="2">
        <v>239</v>
      </c>
      <c r="D383" s="2">
        <v>85</v>
      </c>
      <c r="F383" s="2">
        <v>1</v>
      </c>
      <c r="G383" s="2">
        <v>3</v>
      </c>
      <c r="H383" s="2">
        <v>20</v>
      </c>
      <c r="I383" s="2">
        <v>25</v>
      </c>
      <c r="J383" t="str">
        <f>_xlfn.XLOOKUP(Table2[[#This Row],[Customer_ID]],Table1[Customer_ID],Table1[Customer_Name])</f>
        <v>Lissette Layton</v>
      </c>
    </row>
    <row r="384" spans="1:10" x14ac:dyDescent="0.35">
      <c r="A384" s="4">
        <v>40706</v>
      </c>
      <c r="B384" s="2">
        <v>10534</v>
      </c>
      <c r="C384" s="2">
        <v>278</v>
      </c>
      <c r="D384" s="2">
        <v>87</v>
      </c>
      <c r="F384" s="2">
        <v>1</v>
      </c>
      <c r="G384" s="2">
        <v>1</v>
      </c>
      <c r="H384" s="2">
        <v>2</v>
      </c>
      <c r="I384" s="2">
        <v>25</v>
      </c>
      <c r="J384" t="str">
        <f>_xlfn.XLOOKUP(Table2[[#This Row],[Customer_ID]],Table1[Customer_ID],Table1[Customer_Name])</f>
        <v>Lynnette Loyola</v>
      </c>
    </row>
    <row r="385" spans="1:10" x14ac:dyDescent="0.35">
      <c r="A385" s="4">
        <v>40706</v>
      </c>
      <c r="B385" s="2">
        <v>10534</v>
      </c>
      <c r="C385" s="2">
        <v>314</v>
      </c>
      <c r="D385" s="2">
        <v>87</v>
      </c>
      <c r="F385" s="2">
        <v>1</v>
      </c>
      <c r="G385" s="2">
        <v>1</v>
      </c>
      <c r="H385" s="2">
        <v>4</v>
      </c>
      <c r="I385" s="2">
        <v>25</v>
      </c>
      <c r="J385" t="str">
        <f>_xlfn.XLOOKUP(Table2[[#This Row],[Customer_ID]],Table1[Customer_ID],Table1[Customer_Name])</f>
        <v>Lynnette Loyola</v>
      </c>
    </row>
    <row r="386" spans="1:10" x14ac:dyDescent="0.35">
      <c r="A386" s="4">
        <v>40706</v>
      </c>
      <c r="B386" s="2">
        <v>10534</v>
      </c>
      <c r="C386" s="2">
        <v>347</v>
      </c>
      <c r="D386" s="2">
        <v>87</v>
      </c>
      <c r="F386" s="2">
        <v>1</v>
      </c>
      <c r="G386" s="2">
        <v>2</v>
      </c>
      <c r="H386" s="2">
        <v>5</v>
      </c>
      <c r="I386" s="2">
        <v>25</v>
      </c>
      <c r="J386" t="str">
        <f>_xlfn.XLOOKUP(Table2[[#This Row],[Customer_ID]],Table1[Customer_ID],Table1[Customer_Name])</f>
        <v>Lynnette Loyola</v>
      </c>
    </row>
    <row r="387" spans="1:10" x14ac:dyDescent="0.35">
      <c r="A387" s="4">
        <v>40708</v>
      </c>
      <c r="B387" s="2">
        <v>10536</v>
      </c>
      <c r="C387" s="2">
        <v>294</v>
      </c>
      <c r="D387" s="2">
        <v>89</v>
      </c>
      <c r="F387" s="2">
        <v>1</v>
      </c>
      <c r="G387" s="2">
        <v>4</v>
      </c>
      <c r="H387" s="2">
        <v>3</v>
      </c>
      <c r="I387" s="2">
        <v>25</v>
      </c>
      <c r="J387" t="str">
        <f>_xlfn.XLOOKUP(Table2[[#This Row],[Customer_ID]],Table1[Customer_ID],Table1[Customer_Name])</f>
        <v>Masako Moler</v>
      </c>
    </row>
    <row r="388" spans="1:10" x14ac:dyDescent="0.35">
      <c r="A388" s="4">
        <v>40708</v>
      </c>
      <c r="B388" s="2">
        <v>10536</v>
      </c>
      <c r="C388" s="2">
        <v>41</v>
      </c>
      <c r="D388" s="2">
        <v>89</v>
      </c>
      <c r="F388" s="2">
        <v>1</v>
      </c>
      <c r="G388" s="2">
        <v>6</v>
      </c>
      <c r="H388" s="2">
        <v>90</v>
      </c>
      <c r="I388" s="2">
        <v>25</v>
      </c>
      <c r="J388" t="str">
        <f>_xlfn.XLOOKUP(Table2[[#This Row],[Customer_ID]],Table1[Customer_ID],Table1[Customer_Name])</f>
        <v>Masako Moler</v>
      </c>
    </row>
    <row r="389" spans="1:10" x14ac:dyDescent="0.35">
      <c r="A389" s="4">
        <v>40708</v>
      </c>
      <c r="B389" s="2">
        <v>10536</v>
      </c>
      <c r="C389" s="2">
        <v>253</v>
      </c>
      <c r="D389" s="2">
        <v>89</v>
      </c>
      <c r="F389" s="2">
        <v>1</v>
      </c>
      <c r="G389" s="2">
        <v>2</v>
      </c>
      <c r="H389" s="2">
        <v>3</v>
      </c>
      <c r="I389" s="2">
        <v>25</v>
      </c>
      <c r="J389" t="str">
        <f>_xlfn.XLOOKUP(Table2[[#This Row],[Customer_ID]],Table1[Customer_ID],Table1[Customer_Name])</f>
        <v>Masako Moler</v>
      </c>
    </row>
    <row r="390" spans="1:10" x14ac:dyDescent="0.35">
      <c r="A390" s="4">
        <v>40708</v>
      </c>
      <c r="B390" s="2">
        <v>10536</v>
      </c>
      <c r="C390" s="2">
        <v>370</v>
      </c>
      <c r="D390" s="2">
        <v>89</v>
      </c>
      <c r="F390" s="2">
        <v>1</v>
      </c>
      <c r="G390" s="2">
        <v>1</v>
      </c>
      <c r="H390" s="2">
        <v>7</v>
      </c>
      <c r="I390" s="2">
        <v>25</v>
      </c>
      <c r="J390" t="str">
        <f>_xlfn.XLOOKUP(Table2[[#This Row],[Customer_ID]],Table1[Customer_ID],Table1[Customer_Name])</f>
        <v>Masako Moler</v>
      </c>
    </row>
    <row r="391" spans="1:10" x14ac:dyDescent="0.35">
      <c r="A391" s="4">
        <v>40709</v>
      </c>
      <c r="B391" s="2">
        <v>10538</v>
      </c>
      <c r="C391" s="2">
        <v>290</v>
      </c>
      <c r="D391" s="2">
        <v>91</v>
      </c>
      <c r="F391" s="2">
        <v>1</v>
      </c>
      <c r="G391" s="2">
        <v>6</v>
      </c>
      <c r="H391" s="2">
        <v>9</v>
      </c>
      <c r="I391" s="2">
        <v>25</v>
      </c>
      <c r="J391" t="str">
        <f>_xlfn.XLOOKUP(Table2[[#This Row],[Customer_ID]],Table1[Customer_ID],Table1[Customer_Name])</f>
        <v>Maybelle Bolt</v>
      </c>
    </row>
    <row r="392" spans="1:10" x14ac:dyDescent="0.35">
      <c r="A392" s="4">
        <v>40709</v>
      </c>
      <c r="B392" s="2">
        <v>10538</v>
      </c>
      <c r="C392" s="2">
        <v>351</v>
      </c>
      <c r="D392" s="2">
        <v>91</v>
      </c>
      <c r="F392" s="2">
        <v>1</v>
      </c>
      <c r="G392" s="2">
        <v>2</v>
      </c>
      <c r="H392" s="2">
        <v>66</v>
      </c>
      <c r="I392" s="2">
        <v>25</v>
      </c>
      <c r="J392" t="str">
        <f>_xlfn.XLOOKUP(Table2[[#This Row],[Customer_ID]],Table1[Customer_ID],Table1[Customer_Name])</f>
        <v>Maybelle Bolt</v>
      </c>
    </row>
    <row r="393" spans="1:10" x14ac:dyDescent="0.35">
      <c r="A393" s="4">
        <v>40713</v>
      </c>
      <c r="B393" s="2">
        <v>10540</v>
      </c>
      <c r="C393" s="2">
        <v>66</v>
      </c>
      <c r="D393" s="2">
        <v>93</v>
      </c>
      <c r="F393" s="2">
        <v>1</v>
      </c>
      <c r="G393" s="2">
        <v>1</v>
      </c>
      <c r="H393" s="2">
        <v>5</v>
      </c>
      <c r="I393" s="2">
        <v>25</v>
      </c>
      <c r="J393" t="str">
        <f>_xlfn.XLOOKUP(Table2[[#This Row],[Customer_ID]],Table1[Customer_ID],Table1[Customer_Name])</f>
        <v>Mervin Chiodo</v>
      </c>
    </row>
    <row r="394" spans="1:10" x14ac:dyDescent="0.35">
      <c r="A394" s="4">
        <v>40713</v>
      </c>
      <c r="B394" s="2">
        <v>10540</v>
      </c>
      <c r="C394" s="2">
        <v>52</v>
      </c>
      <c r="D394" s="2">
        <v>93</v>
      </c>
      <c r="F394" s="2">
        <v>1</v>
      </c>
      <c r="G394" s="2">
        <v>2</v>
      </c>
      <c r="H394" s="2">
        <v>5</v>
      </c>
      <c r="I394" s="2">
        <v>25</v>
      </c>
      <c r="J394" t="str">
        <f>_xlfn.XLOOKUP(Table2[[#This Row],[Customer_ID]],Table1[Customer_ID],Table1[Customer_Name])</f>
        <v>Mervin Chiodo</v>
      </c>
    </row>
    <row r="395" spans="1:10" x14ac:dyDescent="0.35">
      <c r="A395" s="4">
        <v>40713</v>
      </c>
      <c r="B395" s="2">
        <v>10540</v>
      </c>
      <c r="C395" s="2">
        <v>31</v>
      </c>
      <c r="D395" s="2">
        <v>93</v>
      </c>
      <c r="F395" s="2">
        <v>1</v>
      </c>
      <c r="G395" s="2">
        <v>7</v>
      </c>
      <c r="H395" s="2">
        <v>8</v>
      </c>
      <c r="I395" s="2">
        <v>25</v>
      </c>
      <c r="J395" t="str">
        <f>_xlfn.XLOOKUP(Table2[[#This Row],[Customer_ID]],Table1[Customer_ID],Table1[Customer_Name])</f>
        <v>Mervin Chiodo</v>
      </c>
    </row>
    <row r="396" spans="1:10" x14ac:dyDescent="0.35">
      <c r="A396" s="4">
        <v>40713</v>
      </c>
      <c r="B396" s="2">
        <v>10540</v>
      </c>
      <c r="C396" s="2">
        <v>30</v>
      </c>
      <c r="D396" s="2">
        <v>93</v>
      </c>
      <c r="F396" s="2">
        <v>1</v>
      </c>
      <c r="G396" s="2">
        <v>2</v>
      </c>
      <c r="H396" s="2">
        <v>12</v>
      </c>
      <c r="I396" s="2">
        <v>25</v>
      </c>
      <c r="J396" t="str">
        <f>_xlfn.XLOOKUP(Table2[[#This Row],[Customer_ID]],Table1[Customer_ID],Table1[Customer_Name])</f>
        <v>Mervin Chiodo</v>
      </c>
    </row>
    <row r="397" spans="1:10" x14ac:dyDescent="0.35">
      <c r="A397" s="4">
        <v>40714</v>
      </c>
      <c r="B397" s="2">
        <v>10542</v>
      </c>
      <c r="C397" s="2">
        <v>8</v>
      </c>
      <c r="D397" s="2">
        <v>95</v>
      </c>
      <c r="F397" s="2">
        <v>1</v>
      </c>
      <c r="G397" s="2">
        <v>5</v>
      </c>
      <c r="H397" s="2">
        <v>380</v>
      </c>
      <c r="I397" s="2">
        <v>25</v>
      </c>
      <c r="J397" t="str">
        <f>_xlfn.XLOOKUP(Table2[[#This Row],[Customer_ID]],Table1[Customer_ID],Table1[Customer_Name])</f>
        <v>Michelle Madonia</v>
      </c>
    </row>
    <row r="398" spans="1:10" x14ac:dyDescent="0.35">
      <c r="A398" s="4">
        <v>40714</v>
      </c>
      <c r="B398" s="2">
        <v>10542</v>
      </c>
      <c r="C398" s="2">
        <v>181</v>
      </c>
      <c r="D398" s="2">
        <v>95</v>
      </c>
      <c r="F398" s="2">
        <v>1</v>
      </c>
      <c r="G398" s="2">
        <v>1</v>
      </c>
      <c r="H398" s="2">
        <v>482</v>
      </c>
      <c r="I398" s="2">
        <v>25</v>
      </c>
      <c r="J398" t="str">
        <f>_xlfn.XLOOKUP(Table2[[#This Row],[Customer_ID]],Table1[Customer_ID],Table1[Customer_Name])</f>
        <v>Michelle Madonia</v>
      </c>
    </row>
    <row r="399" spans="1:10" x14ac:dyDescent="0.35">
      <c r="A399" s="4">
        <v>40715</v>
      </c>
      <c r="B399" s="2">
        <v>10544</v>
      </c>
      <c r="C399" s="2">
        <v>6</v>
      </c>
      <c r="D399" s="2">
        <v>97</v>
      </c>
      <c r="F399" s="2">
        <v>1</v>
      </c>
      <c r="G399" s="2">
        <v>6</v>
      </c>
      <c r="H399" s="2">
        <v>489</v>
      </c>
      <c r="I399" s="2">
        <v>25</v>
      </c>
      <c r="J399" t="str">
        <f>_xlfn.XLOOKUP(Table2[[#This Row],[Customer_ID]],Table1[Customer_ID],Table1[Customer_Name])</f>
        <v>Mitchell Doughtie</v>
      </c>
    </row>
    <row r="400" spans="1:10" x14ac:dyDescent="0.35">
      <c r="A400" s="4">
        <v>40715</v>
      </c>
      <c r="B400" s="2">
        <v>10544</v>
      </c>
      <c r="C400" s="2">
        <v>1</v>
      </c>
      <c r="D400" s="2">
        <v>97</v>
      </c>
      <c r="F400" s="2">
        <v>1</v>
      </c>
      <c r="G400" s="2">
        <v>2</v>
      </c>
      <c r="H400" s="2">
        <v>702</v>
      </c>
      <c r="I400" s="2">
        <v>25</v>
      </c>
      <c r="J400" t="str">
        <f>_xlfn.XLOOKUP(Table2[[#This Row],[Customer_ID]],Table1[Customer_ID],Table1[Customer_Name])</f>
        <v>Mitchell Doughtie</v>
      </c>
    </row>
    <row r="401" spans="1:10" x14ac:dyDescent="0.35">
      <c r="A401" s="4">
        <v>40717</v>
      </c>
      <c r="B401" s="2">
        <v>10546</v>
      </c>
      <c r="C401" s="2">
        <v>178</v>
      </c>
      <c r="D401" s="2">
        <v>99</v>
      </c>
      <c r="F401" s="2">
        <v>1</v>
      </c>
      <c r="G401" s="2">
        <v>9</v>
      </c>
      <c r="H401" s="2">
        <v>293</v>
      </c>
      <c r="I401" s="2">
        <v>25</v>
      </c>
      <c r="J401" t="str">
        <f>_xlfn.XLOOKUP(Table2[[#This Row],[Customer_ID]],Table1[Customer_ID],Table1[Customer_Name])</f>
        <v>Nana Nolette</v>
      </c>
    </row>
    <row r="402" spans="1:10" x14ac:dyDescent="0.35">
      <c r="A402" s="4">
        <v>40717</v>
      </c>
      <c r="B402" s="2">
        <v>10546</v>
      </c>
      <c r="C402" s="2">
        <v>180</v>
      </c>
      <c r="D402" s="2">
        <v>99</v>
      </c>
      <c r="F402" s="2">
        <v>1</v>
      </c>
      <c r="G402" s="2">
        <v>6</v>
      </c>
      <c r="H402" s="2">
        <v>261</v>
      </c>
      <c r="I402" s="2">
        <v>25</v>
      </c>
      <c r="J402" t="str">
        <f>_xlfn.XLOOKUP(Table2[[#This Row],[Customer_ID]],Table1[Customer_ID],Table1[Customer_Name])</f>
        <v>Nana Nolette</v>
      </c>
    </row>
    <row r="403" spans="1:10" x14ac:dyDescent="0.35">
      <c r="A403" s="4">
        <v>40717</v>
      </c>
      <c r="B403" s="2">
        <v>10546</v>
      </c>
      <c r="C403" s="2">
        <v>7</v>
      </c>
      <c r="D403" s="2">
        <v>99</v>
      </c>
      <c r="F403" s="2">
        <v>1</v>
      </c>
      <c r="G403" s="2">
        <v>4</v>
      </c>
      <c r="H403" s="2">
        <v>395</v>
      </c>
      <c r="I403" s="2">
        <v>25</v>
      </c>
      <c r="J403" t="str">
        <f>_xlfn.XLOOKUP(Table2[[#This Row],[Customer_ID]],Table1[Customer_ID],Table1[Customer_Name])</f>
        <v>Nana Nolette</v>
      </c>
    </row>
    <row r="404" spans="1:10" x14ac:dyDescent="0.35">
      <c r="A404" s="4">
        <v>40720</v>
      </c>
      <c r="B404" s="2">
        <v>10548</v>
      </c>
      <c r="C404" s="2">
        <v>84</v>
      </c>
      <c r="D404" s="2">
        <v>1</v>
      </c>
      <c r="E404" s="2">
        <v>94</v>
      </c>
      <c r="F404" s="2">
        <v>1</v>
      </c>
      <c r="G404" s="2">
        <v>3</v>
      </c>
      <c r="H404" s="2">
        <v>6</v>
      </c>
      <c r="I404" s="2">
        <v>25</v>
      </c>
      <c r="J404" t="str">
        <f>_xlfn.XLOOKUP(Table2[[#This Row],[Customer_ID]],Table1[Customer_ID],Table1[Customer_Name])</f>
        <v>Agatha Clauss</v>
      </c>
    </row>
    <row r="405" spans="1:10" x14ac:dyDescent="0.35">
      <c r="A405" s="4">
        <v>40720</v>
      </c>
      <c r="B405" s="2">
        <v>10548</v>
      </c>
      <c r="C405" s="2">
        <v>49</v>
      </c>
      <c r="D405" s="2">
        <v>1</v>
      </c>
      <c r="E405" s="2">
        <v>94</v>
      </c>
      <c r="F405" s="2">
        <v>1</v>
      </c>
      <c r="G405" s="2">
        <v>9</v>
      </c>
      <c r="H405" s="2">
        <v>30</v>
      </c>
      <c r="I405" s="2">
        <v>25</v>
      </c>
      <c r="J405" t="str">
        <f>_xlfn.XLOOKUP(Table2[[#This Row],[Customer_ID]],Table1[Customer_ID],Table1[Customer_Name])</f>
        <v>Agatha Clauss</v>
      </c>
    </row>
    <row r="406" spans="1:10" x14ac:dyDescent="0.35">
      <c r="A406" s="4">
        <v>40722</v>
      </c>
      <c r="B406" s="2">
        <v>10550</v>
      </c>
      <c r="C406" s="2">
        <v>124</v>
      </c>
      <c r="D406" s="2">
        <v>3</v>
      </c>
      <c r="E406" s="2">
        <v>41</v>
      </c>
      <c r="F406" s="2">
        <v>1</v>
      </c>
      <c r="G406" s="2">
        <v>1</v>
      </c>
      <c r="H406" s="2">
        <v>522</v>
      </c>
      <c r="I406" s="2">
        <v>25</v>
      </c>
      <c r="J406" t="str">
        <f>_xlfn.XLOOKUP(Table2[[#This Row],[Customer_ID]],Table1[Customer_ID],Table1[Customer_Name])</f>
        <v>Alonzo Stoltz</v>
      </c>
    </row>
    <row r="407" spans="1:10" x14ac:dyDescent="0.35">
      <c r="A407" s="4">
        <v>40722</v>
      </c>
      <c r="B407" s="2">
        <v>10550</v>
      </c>
      <c r="C407" s="2">
        <v>125</v>
      </c>
      <c r="D407" s="2">
        <v>3</v>
      </c>
      <c r="E407" s="2">
        <v>41</v>
      </c>
      <c r="F407" s="2">
        <v>1</v>
      </c>
      <c r="G407" s="2">
        <v>5</v>
      </c>
      <c r="H407" s="2">
        <v>930</v>
      </c>
      <c r="I407" s="2">
        <v>25</v>
      </c>
      <c r="J407" t="str">
        <f>_xlfn.XLOOKUP(Table2[[#This Row],[Customer_ID]],Table1[Customer_ID],Table1[Customer_Name])</f>
        <v>Alonzo Stoltz</v>
      </c>
    </row>
    <row r="408" spans="1:10" x14ac:dyDescent="0.35">
      <c r="A408" s="4">
        <v>40722</v>
      </c>
      <c r="B408" s="2">
        <v>10550</v>
      </c>
      <c r="C408" s="2">
        <v>121</v>
      </c>
      <c r="D408" s="2">
        <v>3</v>
      </c>
      <c r="E408" s="2">
        <v>41</v>
      </c>
      <c r="F408" s="2">
        <v>1</v>
      </c>
      <c r="G408" s="2">
        <v>1</v>
      </c>
      <c r="H408" s="2">
        <v>763</v>
      </c>
      <c r="I408" s="2">
        <v>25</v>
      </c>
      <c r="J408" t="str">
        <f>_xlfn.XLOOKUP(Table2[[#This Row],[Customer_ID]],Table1[Customer_ID],Table1[Customer_Name])</f>
        <v>Alonzo Stoltz</v>
      </c>
    </row>
    <row r="409" spans="1:10" x14ac:dyDescent="0.35">
      <c r="A409" s="4">
        <v>40722</v>
      </c>
      <c r="B409" s="2">
        <v>10550</v>
      </c>
      <c r="C409" s="2">
        <v>122</v>
      </c>
      <c r="D409" s="2">
        <v>3</v>
      </c>
      <c r="E409" s="2">
        <v>41</v>
      </c>
      <c r="F409" s="2">
        <v>1</v>
      </c>
      <c r="G409" s="2">
        <v>1</v>
      </c>
      <c r="H409" s="2">
        <v>433</v>
      </c>
      <c r="I409" s="2">
        <v>25</v>
      </c>
      <c r="J409" t="str">
        <f>_xlfn.XLOOKUP(Table2[[#This Row],[Customer_ID]],Table1[Customer_ID],Table1[Customer_Name])</f>
        <v>Alonzo Stoltz</v>
      </c>
    </row>
    <row r="410" spans="1:10" x14ac:dyDescent="0.35">
      <c r="A410" s="4">
        <v>40723</v>
      </c>
      <c r="B410" s="2">
        <v>10552</v>
      </c>
      <c r="C410" s="2">
        <v>80</v>
      </c>
      <c r="D410" s="2">
        <v>5</v>
      </c>
      <c r="E410" s="2">
        <v>27</v>
      </c>
      <c r="F410" s="2">
        <v>1</v>
      </c>
      <c r="G410" s="2">
        <v>15</v>
      </c>
      <c r="H410" s="2">
        <v>23</v>
      </c>
      <c r="I410" s="2">
        <v>25</v>
      </c>
      <c r="J410" t="str">
        <f>_xlfn.XLOOKUP(Table2[[#This Row],[Customer_ID]],Table1[Customer_ID],Table1[Customer_Name])</f>
        <v>Anette Abdulla</v>
      </c>
    </row>
    <row r="411" spans="1:10" x14ac:dyDescent="0.35">
      <c r="A411" s="4">
        <v>40723</v>
      </c>
      <c r="B411" s="2">
        <v>10552</v>
      </c>
      <c r="C411" s="2">
        <v>71</v>
      </c>
      <c r="D411" s="2">
        <v>5</v>
      </c>
      <c r="E411" s="2">
        <v>27</v>
      </c>
      <c r="F411" s="2">
        <v>1</v>
      </c>
      <c r="G411" s="2">
        <v>3</v>
      </c>
      <c r="H411" s="2">
        <v>12</v>
      </c>
      <c r="I411" s="2">
        <v>25</v>
      </c>
      <c r="J411" t="str">
        <f>_xlfn.XLOOKUP(Table2[[#This Row],[Customer_ID]],Table1[Customer_ID],Table1[Customer_Name])</f>
        <v>Anette Abdulla</v>
      </c>
    </row>
    <row r="412" spans="1:10" x14ac:dyDescent="0.35">
      <c r="A412" s="4">
        <v>40724</v>
      </c>
      <c r="B412" s="2">
        <v>10554</v>
      </c>
      <c r="C412" s="2">
        <v>195</v>
      </c>
      <c r="D412" s="2">
        <v>7</v>
      </c>
      <c r="E412" s="2">
        <v>32</v>
      </c>
      <c r="F412" s="2">
        <v>1</v>
      </c>
      <c r="G412" s="2">
        <v>3</v>
      </c>
      <c r="H412" s="2">
        <v>6</v>
      </c>
      <c r="I412" s="2">
        <v>25</v>
      </c>
      <c r="J412" t="str">
        <f>_xlfn.XLOOKUP(Table2[[#This Row],[Customer_ID]],Table1[Customer_ID],Table1[Customer_Name])</f>
        <v>Ardath Peaslee</v>
      </c>
    </row>
    <row r="413" spans="1:10" x14ac:dyDescent="0.35">
      <c r="A413" s="4">
        <v>40724</v>
      </c>
      <c r="B413" s="2">
        <v>10554</v>
      </c>
      <c r="C413" s="2">
        <v>252</v>
      </c>
      <c r="D413" s="2">
        <v>7</v>
      </c>
      <c r="E413" s="2">
        <v>32</v>
      </c>
      <c r="F413" s="2">
        <v>1</v>
      </c>
      <c r="G413" s="2">
        <v>6</v>
      </c>
      <c r="H413" s="2">
        <v>27</v>
      </c>
      <c r="I413" s="2">
        <v>25</v>
      </c>
      <c r="J413" t="str">
        <f>_xlfn.XLOOKUP(Table2[[#This Row],[Customer_ID]],Table1[Customer_ID],Table1[Customer_Name])</f>
        <v>Ardath Peaslee</v>
      </c>
    </row>
    <row r="414" spans="1:10" x14ac:dyDescent="0.35">
      <c r="A414" s="4">
        <v>40724</v>
      </c>
      <c r="B414" s="2">
        <v>10554</v>
      </c>
      <c r="C414" s="2">
        <v>299</v>
      </c>
      <c r="D414" s="2">
        <v>7</v>
      </c>
      <c r="E414" s="2">
        <v>32</v>
      </c>
      <c r="F414" s="2">
        <v>1</v>
      </c>
      <c r="G414" s="2">
        <v>1</v>
      </c>
      <c r="H414" s="2">
        <v>3</v>
      </c>
      <c r="I414" s="2">
        <v>25</v>
      </c>
      <c r="J414" t="str">
        <f>_xlfn.XLOOKUP(Table2[[#This Row],[Customer_ID]],Table1[Customer_ID],Table1[Customer_Name])</f>
        <v>Ardath Peaslee</v>
      </c>
    </row>
    <row r="415" spans="1:10" x14ac:dyDescent="0.35">
      <c r="A415" s="4">
        <v>40724</v>
      </c>
      <c r="B415" s="2">
        <v>10554</v>
      </c>
      <c r="C415" s="2">
        <v>234</v>
      </c>
      <c r="D415" s="2">
        <v>7</v>
      </c>
      <c r="E415" s="2">
        <v>32</v>
      </c>
      <c r="F415" s="2">
        <v>1</v>
      </c>
      <c r="G415" s="2">
        <v>3</v>
      </c>
      <c r="H415" s="2">
        <v>27</v>
      </c>
      <c r="I415" s="2">
        <v>25</v>
      </c>
      <c r="J415" t="str">
        <f>_xlfn.XLOOKUP(Table2[[#This Row],[Customer_ID]],Table1[Customer_ID],Table1[Customer_Name])</f>
        <v>Ardath Peaslee</v>
      </c>
    </row>
    <row r="416" spans="1:10" x14ac:dyDescent="0.35">
      <c r="A416" s="4">
        <v>40728</v>
      </c>
      <c r="B416" s="2">
        <v>10556</v>
      </c>
      <c r="C416" s="2">
        <v>447</v>
      </c>
      <c r="D416" s="2">
        <v>9</v>
      </c>
      <c r="E416" s="2">
        <v>97</v>
      </c>
      <c r="F416" s="2">
        <v>1</v>
      </c>
      <c r="G416" s="2">
        <v>4</v>
      </c>
      <c r="H416" s="2">
        <v>38</v>
      </c>
      <c r="I416" s="2">
        <v>25</v>
      </c>
      <c r="J416" t="str">
        <f>_xlfn.XLOOKUP(Table2[[#This Row],[Customer_ID]],Table1[Customer_ID],Table1[Customer_Name])</f>
        <v>Bernarda Caughey</v>
      </c>
    </row>
    <row r="417" spans="1:10" x14ac:dyDescent="0.35">
      <c r="A417" s="4">
        <v>40729</v>
      </c>
      <c r="B417" s="2">
        <v>10558</v>
      </c>
      <c r="C417" s="2">
        <v>39</v>
      </c>
      <c r="D417" s="2">
        <v>11</v>
      </c>
      <c r="E417" s="2">
        <v>79</v>
      </c>
      <c r="F417" s="2">
        <v>1</v>
      </c>
      <c r="G417" s="2">
        <v>2</v>
      </c>
      <c r="H417" s="2">
        <v>21</v>
      </c>
      <c r="I417" s="2">
        <v>25</v>
      </c>
      <c r="J417" t="str">
        <f>_xlfn.XLOOKUP(Table2[[#This Row],[Customer_ID]],Table1[Customer_ID],Table1[Customer_Name])</f>
        <v>Bonita Honaker</v>
      </c>
    </row>
    <row r="418" spans="1:10" x14ac:dyDescent="0.35">
      <c r="A418" s="4">
        <v>40729</v>
      </c>
      <c r="B418" s="2">
        <v>10558</v>
      </c>
      <c r="C418" s="2">
        <v>207</v>
      </c>
      <c r="D418" s="2">
        <v>11</v>
      </c>
      <c r="E418" s="2">
        <v>79</v>
      </c>
      <c r="F418" s="2">
        <v>1</v>
      </c>
      <c r="G418" s="2">
        <v>1</v>
      </c>
      <c r="H418" s="2">
        <v>4</v>
      </c>
      <c r="I418" s="2">
        <v>25</v>
      </c>
      <c r="J418" t="str">
        <f>_xlfn.XLOOKUP(Table2[[#This Row],[Customer_ID]],Table1[Customer_ID],Table1[Customer_Name])</f>
        <v>Bonita Honaker</v>
      </c>
    </row>
    <row r="419" spans="1:10" x14ac:dyDescent="0.35">
      <c r="A419" s="4">
        <v>40729</v>
      </c>
      <c r="B419" s="2">
        <v>10558</v>
      </c>
      <c r="C419" s="2">
        <v>316</v>
      </c>
      <c r="D419" s="2">
        <v>11</v>
      </c>
      <c r="E419" s="2">
        <v>79</v>
      </c>
      <c r="F419" s="2">
        <v>1</v>
      </c>
      <c r="G419" s="2">
        <v>1</v>
      </c>
      <c r="H419" s="2">
        <v>13</v>
      </c>
      <c r="I419" s="2">
        <v>25</v>
      </c>
      <c r="J419" t="str">
        <f>_xlfn.XLOOKUP(Table2[[#This Row],[Customer_ID]],Table1[Customer_ID],Table1[Customer_Name])</f>
        <v>Bonita Honaker</v>
      </c>
    </row>
    <row r="420" spans="1:10" x14ac:dyDescent="0.35">
      <c r="A420" s="4">
        <v>40729</v>
      </c>
      <c r="B420" s="2">
        <v>10558</v>
      </c>
      <c r="C420" s="2">
        <v>412</v>
      </c>
      <c r="D420" s="2">
        <v>11</v>
      </c>
      <c r="E420" s="2">
        <v>79</v>
      </c>
      <c r="F420" s="2">
        <v>1</v>
      </c>
      <c r="G420" s="2">
        <v>8</v>
      </c>
      <c r="H420" s="2">
        <v>20</v>
      </c>
      <c r="I420" s="2">
        <v>25</v>
      </c>
      <c r="J420" t="str">
        <f>_xlfn.XLOOKUP(Table2[[#This Row],[Customer_ID]],Table1[Customer_ID],Table1[Customer_Name])</f>
        <v>Bonita Honaker</v>
      </c>
    </row>
    <row r="421" spans="1:10" x14ac:dyDescent="0.35">
      <c r="A421" s="4">
        <v>40729</v>
      </c>
      <c r="B421" s="2">
        <v>10558</v>
      </c>
      <c r="C421" s="2">
        <v>208</v>
      </c>
      <c r="D421" s="2">
        <v>11</v>
      </c>
      <c r="E421" s="2">
        <v>79</v>
      </c>
      <c r="F421" s="2">
        <v>1</v>
      </c>
      <c r="G421" s="2">
        <v>2</v>
      </c>
      <c r="H421" s="2">
        <v>4</v>
      </c>
      <c r="I421" s="2">
        <v>25</v>
      </c>
      <c r="J421" t="str">
        <f>_xlfn.XLOOKUP(Table2[[#This Row],[Customer_ID]],Table1[Customer_ID],Table1[Customer_Name])</f>
        <v>Bonita Honaker</v>
      </c>
    </row>
    <row r="422" spans="1:10" x14ac:dyDescent="0.35">
      <c r="A422" s="4">
        <v>40731</v>
      </c>
      <c r="B422" s="2">
        <v>10560</v>
      </c>
      <c r="C422" s="2">
        <v>159</v>
      </c>
      <c r="D422" s="2">
        <v>13</v>
      </c>
      <c r="E422" s="2">
        <v>30</v>
      </c>
      <c r="F422" s="2">
        <v>1</v>
      </c>
      <c r="G422" s="2">
        <v>3</v>
      </c>
      <c r="H422" s="2">
        <v>1104</v>
      </c>
      <c r="I422" s="2">
        <v>25</v>
      </c>
      <c r="J422" t="str">
        <f>_xlfn.XLOOKUP(Table2[[#This Row],[Customer_ID]],Table1[Customer_ID],Table1[Customer_Name])</f>
        <v>Bryant Ertel</v>
      </c>
    </row>
    <row r="423" spans="1:10" x14ac:dyDescent="0.35">
      <c r="A423" s="4">
        <v>40731</v>
      </c>
      <c r="B423" s="2">
        <v>10560</v>
      </c>
      <c r="C423" s="2">
        <v>160</v>
      </c>
      <c r="D423" s="2">
        <v>13</v>
      </c>
      <c r="E423" s="2">
        <v>30</v>
      </c>
      <c r="F423" s="2">
        <v>1</v>
      </c>
      <c r="G423" s="2">
        <v>4</v>
      </c>
      <c r="H423" s="2">
        <v>1420</v>
      </c>
      <c r="I423" s="2">
        <v>25</v>
      </c>
      <c r="J423" t="str">
        <f>_xlfn.XLOOKUP(Table2[[#This Row],[Customer_ID]],Table1[Customer_ID],Table1[Customer_Name])</f>
        <v>Bryant Ertel</v>
      </c>
    </row>
    <row r="424" spans="1:10" x14ac:dyDescent="0.35">
      <c r="A424" s="4">
        <v>40734</v>
      </c>
      <c r="B424" s="2">
        <v>10562</v>
      </c>
      <c r="C424" s="2">
        <v>139</v>
      </c>
      <c r="D424" s="2">
        <v>15</v>
      </c>
      <c r="E424" s="2">
        <v>14</v>
      </c>
      <c r="F424" s="2">
        <v>1</v>
      </c>
      <c r="G424" s="2">
        <v>5</v>
      </c>
      <c r="H424" s="2">
        <v>232</v>
      </c>
      <c r="I424" s="2">
        <v>25</v>
      </c>
      <c r="J424" t="str">
        <f>_xlfn.XLOOKUP(Table2[[#This Row],[Customer_ID]],Table1[Customer_ID],Table1[Customer_Name])</f>
        <v>Caryn Conry</v>
      </c>
    </row>
    <row r="425" spans="1:10" x14ac:dyDescent="0.35">
      <c r="A425" s="4">
        <v>40734</v>
      </c>
      <c r="B425" s="2">
        <v>10562</v>
      </c>
      <c r="C425" s="2">
        <v>146</v>
      </c>
      <c r="D425" s="2">
        <v>15</v>
      </c>
      <c r="E425" s="2">
        <v>14</v>
      </c>
      <c r="F425" s="2">
        <v>1</v>
      </c>
      <c r="G425" s="2">
        <v>3</v>
      </c>
      <c r="H425" s="2">
        <v>433</v>
      </c>
      <c r="I425" s="2">
        <v>25</v>
      </c>
      <c r="J425" t="str">
        <f>_xlfn.XLOOKUP(Table2[[#This Row],[Customer_ID]],Table1[Customer_ID],Table1[Customer_Name])</f>
        <v>Caryn Conry</v>
      </c>
    </row>
    <row r="426" spans="1:10" x14ac:dyDescent="0.35">
      <c r="A426" s="4">
        <v>40735</v>
      </c>
      <c r="B426" s="2">
        <v>10564</v>
      </c>
      <c r="C426" s="2">
        <v>143</v>
      </c>
      <c r="D426" s="2">
        <v>17</v>
      </c>
      <c r="E426" s="2">
        <v>21</v>
      </c>
      <c r="F426" s="2">
        <v>1</v>
      </c>
      <c r="G426" s="2">
        <v>8</v>
      </c>
      <c r="H426" s="2">
        <v>158</v>
      </c>
      <c r="I426" s="2">
        <v>25</v>
      </c>
      <c r="J426" t="str">
        <f>_xlfn.XLOOKUP(Table2[[#This Row],[Customer_ID]],Table1[Customer_ID],Table1[Customer_Name])</f>
        <v>Cecelia Beeler</v>
      </c>
    </row>
    <row r="427" spans="1:10" x14ac:dyDescent="0.35">
      <c r="A427" s="4">
        <v>40735</v>
      </c>
      <c r="B427" s="2">
        <v>10564</v>
      </c>
      <c r="C427" s="2">
        <v>140</v>
      </c>
      <c r="D427" s="2">
        <v>17</v>
      </c>
      <c r="E427" s="2">
        <v>21</v>
      </c>
      <c r="F427" s="2">
        <v>1</v>
      </c>
      <c r="G427" s="2">
        <v>6</v>
      </c>
      <c r="H427" s="2">
        <v>95</v>
      </c>
      <c r="I427" s="2">
        <v>25</v>
      </c>
      <c r="J427" t="str">
        <f>_xlfn.XLOOKUP(Table2[[#This Row],[Customer_ID]],Table1[Customer_ID],Table1[Customer_Name])</f>
        <v>Cecelia Beeler</v>
      </c>
    </row>
    <row r="428" spans="1:10" x14ac:dyDescent="0.35">
      <c r="A428" s="4">
        <v>40735</v>
      </c>
      <c r="B428" s="2">
        <v>10564</v>
      </c>
      <c r="C428" s="2">
        <v>138</v>
      </c>
      <c r="D428" s="2">
        <v>17</v>
      </c>
      <c r="E428" s="2">
        <v>21</v>
      </c>
      <c r="F428" s="2">
        <v>1</v>
      </c>
      <c r="G428" s="2">
        <v>5</v>
      </c>
      <c r="H428" s="2">
        <v>126</v>
      </c>
      <c r="I428" s="2">
        <v>25</v>
      </c>
      <c r="J428" t="str">
        <f>_xlfn.XLOOKUP(Table2[[#This Row],[Customer_ID]],Table1[Customer_ID],Table1[Customer_Name])</f>
        <v>Cecelia Beeler</v>
      </c>
    </row>
    <row r="429" spans="1:10" x14ac:dyDescent="0.35">
      <c r="A429" s="4">
        <v>40737</v>
      </c>
      <c r="B429" s="2">
        <v>10566</v>
      </c>
      <c r="C429" s="2">
        <v>170</v>
      </c>
      <c r="D429" s="2">
        <v>19</v>
      </c>
      <c r="E429" s="2">
        <v>57</v>
      </c>
      <c r="F429" s="2">
        <v>1</v>
      </c>
      <c r="G429" s="2">
        <v>2</v>
      </c>
      <c r="H429" s="2">
        <v>656</v>
      </c>
      <c r="I429" s="2">
        <v>25</v>
      </c>
      <c r="J429" t="str">
        <f>_xlfn.XLOOKUP(Table2[[#This Row],[Customer_ID]],Table1[Customer_ID],Table1[Customer_Name])</f>
        <v>Charlyn Sanroman</v>
      </c>
    </row>
    <row r="430" spans="1:10" x14ac:dyDescent="0.35">
      <c r="A430" s="4">
        <v>40737</v>
      </c>
      <c r="B430" s="2">
        <v>10566</v>
      </c>
      <c r="C430" s="2">
        <v>166</v>
      </c>
      <c r="D430" s="2">
        <v>19</v>
      </c>
      <c r="E430" s="2">
        <v>57</v>
      </c>
      <c r="F430" s="2">
        <v>1</v>
      </c>
      <c r="G430" s="2">
        <v>1</v>
      </c>
      <c r="H430" s="2">
        <v>332</v>
      </c>
      <c r="I430" s="2">
        <v>25</v>
      </c>
      <c r="J430" t="str">
        <f>_xlfn.XLOOKUP(Table2[[#This Row],[Customer_ID]],Table1[Customer_ID],Table1[Customer_Name])</f>
        <v>Charlyn Sanroman</v>
      </c>
    </row>
    <row r="431" spans="1:10" x14ac:dyDescent="0.35">
      <c r="A431" s="4">
        <v>40737</v>
      </c>
      <c r="B431" s="2">
        <v>10566</v>
      </c>
      <c r="C431" s="2">
        <v>176</v>
      </c>
      <c r="D431" s="2">
        <v>19</v>
      </c>
      <c r="E431" s="2">
        <v>57</v>
      </c>
      <c r="F431" s="2">
        <v>1</v>
      </c>
      <c r="G431" s="2">
        <v>5</v>
      </c>
      <c r="H431" s="2">
        <v>329</v>
      </c>
      <c r="I431" s="2">
        <v>25</v>
      </c>
      <c r="J431" t="str">
        <f>_xlfn.XLOOKUP(Table2[[#This Row],[Customer_ID]],Table1[Customer_ID],Table1[Customer_Name])</f>
        <v>Charlyn Sanroman</v>
      </c>
    </row>
    <row r="432" spans="1:10" x14ac:dyDescent="0.35">
      <c r="A432" s="4">
        <v>40738</v>
      </c>
      <c r="B432" s="2">
        <v>10568</v>
      </c>
      <c r="C432" s="2">
        <v>164</v>
      </c>
      <c r="D432" s="2">
        <v>21</v>
      </c>
      <c r="E432" s="2">
        <v>61</v>
      </c>
      <c r="F432" s="2">
        <v>1</v>
      </c>
      <c r="G432" s="2">
        <v>2</v>
      </c>
      <c r="H432" s="2">
        <v>763</v>
      </c>
      <c r="I432" s="2">
        <v>25</v>
      </c>
      <c r="J432" t="str">
        <f>_xlfn.XLOOKUP(Table2[[#This Row],[Customer_ID]],Table1[Customer_ID],Table1[Customer_Name])</f>
        <v>Clemencia Gwyn</v>
      </c>
    </row>
    <row r="433" spans="1:10" x14ac:dyDescent="0.35">
      <c r="A433" s="4">
        <v>40742</v>
      </c>
      <c r="B433" s="2">
        <v>10570</v>
      </c>
      <c r="C433" s="2">
        <v>206</v>
      </c>
      <c r="D433" s="2">
        <v>23</v>
      </c>
      <c r="E433" s="2">
        <v>80</v>
      </c>
      <c r="F433" s="2">
        <v>1</v>
      </c>
      <c r="G433" s="2">
        <v>2</v>
      </c>
      <c r="H433" s="2">
        <v>6</v>
      </c>
      <c r="I433" s="2">
        <v>25</v>
      </c>
      <c r="J433" t="str">
        <f>_xlfn.XLOOKUP(Table2[[#This Row],[Customer_ID]],Table1[Customer_ID],Table1[Customer_Name])</f>
        <v>Collette Romain</v>
      </c>
    </row>
    <row r="434" spans="1:10" x14ac:dyDescent="0.35">
      <c r="A434" s="4">
        <v>40742</v>
      </c>
      <c r="B434" s="2">
        <v>10570</v>
      </c>
      <c r="C434" s="2">
        <v>210</v>
      </c>
      <c r="D434" s="2">
        <v>23</v>
      </c>
      <c r="E434" s="2">
        <v>80</v>
      </c>
      <c r="F434" s="2">
        <v>1</v>
      </c>
      <c r="G434" s="2">
        <v>1</v>
      </c>
      <c r="H434" s="2">
        <v>6</v>
      </c>
      <c r="I434" s="2">
        <v>25</v>
      </c>
      <c r="J434" t="str">
        <f>_xlfn.XLOOKUP(Table2[[#This Row],[Customer_ID]],Table1[Customer_ID],Table1[Customer_Name])</f>
        <v>Collette Romain</v>
      </c>
    </row>
    <row r="435" spans="1:10" x14ac:dyDescent="0.35">
      <c r="A435" s="4">
        <v>40743</v>
      </c>
      <c r="B435" s="2">
        <v>10572</v>
      </c>
      <c r="C435" s="2">
        <v>222</v>
      </c>
      <c r="D435" s="2">
        <v>25</v>
      </c>
      <c r="E435" s="2">
        <v>69</v>
      </c>
      <c r="F435" s="2">
        <v>1</v>
      </c>
      <c r="G435" s="2">
        <v>6</v>
      </c>
      <c r="H435" s="2">
        <v>4</v>
      </c>
      <c r="I435" s="2">
        <v>25</v>
      </c>
      <c r="J435" t="str">
        <f>_xlfn.XLOOKUP(Table2[[#This Row],[Customer_ID]],Table1[Customer_ID],Table1[Customer_Name])</f>
        <v>Cristy Claire</v>
      </c>
    </row>
    <row r="436" spans="1:10" x14ac:dyDescent="0.35">
      <c r="A436" s="4">
        <v>40743</v>
      </c>
      <c r="B436" s="2">
        <v>10572</v>
      </c>
      <c r="C436" s="2">
        <v>332</v>
      </c>
      <c r="D436" s="2">
        <v>25</v>
      </c>
      <c r="E436" s="2">
        <v>69</v>
      </c>
      <c r="F436" s="2">
        <v>1</v>
      </c>
      <c r="G436" s="2">
        <v>3</v>
      </c>
      <c r="H436" s="2">
        <v>78</v>
      </c>
      <c r="I436" s="2">
        <v>25</v>
      </c>
      <c r="J436" t="str">
        <f>_xlfn.XLOOKUP(Table2[[#This Row],[Customer_ID]],Table1[Customer_ID],Table1[Customer_Name])</f>
        <v>Cristy Claire</v>
      </c>
    </row>
    <row r="437" spans="1:10" x14ac:dyDescent="0.35">
      <c r="A437" s="4">
        <v>40743</v>
      </c>
      <c r="B437" s="2">
        <v>10572</v>
      </c>
      <c r="C437" s="2">
        <v>330</v>
      </c>
      <c r="D437" s="2">
        <v>25</v>
      </c>
      <c r="E437" s="2">
        <v>69</v>
      </c>
      <c r="F437" s="2">
        <v>1</v>
      </c>
      <c r="G437" s="2">
        <v>2</v>
      </c>
      <c r="H437" s="2">
        <v>23</v>
      </c>
      <c r="I437" s="2">
        <v>25</v>
      </c>
      <c r="J437" t="str">
        <f>_xlfn.XLOOKUP(Table2[[#This Row],[Customer_ID]],Table1[Customer_ID],Table1[Customer_Name])</f>
        <v>Cristy Claire</v>
      </c>
    </row>
    <row r="438" spans="1:10" x14ac:dyDescent="0.35">
      <c r="A438" s="4">
        <v>40743</v>
      </c>
      <c r="B438" s="2">
        <v>10572</v>
      </c>
      <c r="C438" s="2">
        <v>326</v>
      </c>
      <c r="D438" s="2">
        <v>25</v>
      </c>
      <c r="E438" s="2">
        <v>69</v>
      </c>
      <c r="F438" s="2">
        <v>1</v>
      </c>
      <c r="G438" s="2">
        <v>5</v>
      </c>
      <c r="H438" s="2">
        <v>44</v>
      </c>
      <c r="I438" s="2">
        <v>25</v>
      </c>
      <c r="J438" t="str">
        <f>_xlfn.XLOOKUP(Table2[[#This Row],[Customer_ID]],Table1[Customer_ID],Table1[Customer_Name])</f>
        <v>Cristy Claire</v>
      </c>
    </row>
    <row r="439" spans="1:10" x14ac:dyDescent="0.35">
      <c r="A439" s="4">
        <v>40744</v>
      </c>
      <c r="B439" s="2">
        <v>10574</v>
      </c>
      <c r="C439" s="2">
        <v>283</v>
      </c>
      <c r="D439" s="2">
        <v>27</v>
      </c>
      <c r="E439" s="2">
        <v>54</v>
      </c>
      <c r="F439" s="2">
        <v>1</v>
      </c>
      <c r="G439" s="2">
        <v>1</v>
      </c>
      <c r="H439" s="2">
        <v>6</v>
      </c>
      <c r="I439" s="2">
        <v>25</v>
      </c>
      <c r="J439" t="str">
        <f>_xlfn.XLOOKUP(Table2[[#This Row],[Customer_ID]],Table1[Customer_ID],Table1[Customer_Name])</f>
        <v>Daniel Emmerich</v>
      </c>
    </row>
    <row r="440" spans="1:10" x14ac:dyDescent="0.35">
      <c r="A440" s="4">
        <v>40744</v>
      </c>
      <c r="B440" s="2">
        <v>10574</v>
      </c>
      <c r="C440" s="2">
        <v>241</v>
      </c>
      <c r="D440" s="2">
        <v>27</v>
      </c>
      <c r="E440" s="2">
        <v>54</v>
      </c>
      <c r="F440" s="2">
        <v>1</v>
      </c>
      <c r="G440" s="2">
        <v>1</v>
      </c>
      <c r="H440" s="2">
        <v>61</v>
      </c>
      <c r="I440" s="2">
        <v>25</v>
      </c>
      <c r="J440" t="str">
        <f>_xlfn.XLOOKUP(Table2[[#This Row],[Customer_ID]],Table1[Customer_ID],Table1[Customer_Name])</f>
        <v>Daniel Emmerich</v>
      </c>
    </row>
    <row r="441" spans="1:10" x14ac:dyDescent="0.35">
      <c r="A441" s="4">
        <v>40744</v>
      </c>
      <c r="B441" s="2">
        <v>10574</v>
      </c>
      <c r="C441" s="2">
        <v>75</v>
      </c>
      <c r="D441" s="2">
        <v>27</v>
      </c>
      <c r="E441" s="2">
        <v>54</v>
      </c>
      <c r="F441" s="2">
        <v>1</v>
      </c>
      <c r="G441" s="2">
        <v>1</v>
      </c>
      <c r="H441" s="2">
        <v>12</v>
      </c>
      <c r="I441" s="2">
        <v>25</v>
      </c>
      <c r="J441" t="str">
        <f>_xlfn.XLOOKUP(Table2[[#This Row],[Customer_ID]],Table1[Customer_ID],Table1[Customer_Name])</f>
        <v>Daniel Emmerich</v>
      </c>
    </row>
    <row r="442" spans="1:10" x14ac:dyDescent="0.35">
      <c r="A442" s="4">
        <v>40744</v>
      </c>
      <c r="B442" s="2">
        <v>10574</v>
      </c>
      <c r="C442" s="2">
        <v>298</v>
      </c>
      <c r="D442" s="2">
        <v>27</v>
      </c>
      <c r="E442" s="2">
        <v>54</v>
      </c>
      <c r="F442" s="2">
        <v>1</v>
      </c>
      <c r="G442" s="2">
        <v>2</v>
      </c>
      <c r="H442" s="2">
        <v>4</v>
      </c>
      <c r="I442" s="2">
        <v>25</v>
      </c>
      <c r="J442" t="str">
        <f>_xlfn.XLOOKUP(Table2[[#This Row],[Customer_ID]],Table1[Customer_ID],Table1[Customer_Name])</f>
        <v>Daniel Emmerich</v>
      </c>
    </row>
    <row r="443" spans="1:10" x14ac:dyDescent="0.35">
      <c r="A443" s="4">
        <v>40748</v>
      </c>
      <c r="B443" s="2">
        <v>10576</v>
      </c>
      <c r="C443" s="2">
        <v>358</v>
      </c>
      <c r="D443" s="2">
        <v>29</v>
      </c>
      <c r="E443" s="2">
        <v>83</v>
      </c>
      <c r="F443" s="2">
        <v>1</v>
      </c>
      <c r="G443" s="2">
        <v>6</v>
      </c>
      <c r="H443" s="2">
        <v>26</v>
      </c>
      <c r="I443" s="2">
        <v>25</v>
      </c>
      <c r="J443" t="str">
        <f>_xlfn.XLOOKUP(Table2[[#This Row],[Customer_ID]],Table1[Customer_ID],Table1[Customer_Name])</f>
        <v>Deneen Client</v>
      </c>
    </row>
    <row r="444" spans="1:10" x14ac:dyDescent="0.35">
      <c r="A444" s="4">
        <v>40748</v>
      </c>
      <c r="B444" s="2">
        <v>10576</v>
      </c>
      <c r="C444" s="2">
        <v>357</v>
      </c>
      <c r="D444" s="2">
        <v>29</v>
      </c>
      <c r="E444" s="2">
        <v>83</v>
      </c>
      <c r="F444" s="2">
        <v>1</v>
      </c>
      <c r="G444" s="2">
        <v>2</v>
      </c>
      <c r="H444" s="2">
        <v>33</v>
      </c>
      <c r="I444" s="2">
        <v>25</v>
      </c>
      <c r="J444" t="str">
        <f>_xlfn.XLOOKUP(Table2[[#This Row],[Customer_ID]],Table1[Customer_ID],Table1[Customer_Name])</f>
        <v>Deneen Client</v>
      </c>
    </row>
    <row r="445" spans="1:10" x14ac:dyDescent="0.35">
      <c r="A445" s="4">
        <v>40748</v>
      </c>
      <c r="B445" s="2">
        <v>10576</v>
      </c>
      <c r="C445" s="2">
        <v>359</v>
      </c>
      <c r="D445" s="2">
        <v>29</v>
      </c>
      <c r="E445" s="2">
        <v>83</v>
      </c>
      <c r="F445" s="2">
        <v>1</v>
      </c>
      <c r="G445" s="2">
        <v>5</v>
      </c>
      <c r="H445" s="2">
        <v>90</v>
      </c>
      <c r="I445" s="2">
        <v>25</v>
      </c>
      <c r="J445" t="str">
        <f>_xlfn.XLOOKUP(Table2[[#This Row],[Customer_ID]],Table1[Customer_ID],Table1[Customer_Name])</f>
        <v>Deneen Client</v>
      </c>
    </row>
    <row r="446" spans="1:10" x14ac:dyDescent="0.35">
      <c r="A446" s="4">
        <v>40749</v>
      </c>
      <c r="B446" s="2">
        <v>10578</v>
      </c>
      <c r="C446" s="2">
        <v>216</v>
      </c>
      <c r="D446" s="2">
        <v>31</v>
      </c>
      <c r="E446" s="2">
        <v>55</v>
      </c>
      <c r="F446" s="2">
        <v>1</v>
      </c>
      <c r="G446" s="2">
        <v>1</v>
      </c>
      <c r="H446" s="2">
        <v>4</v>
      </c>
      <c r="I446" s="2">
        <v>25</v>
      </c>
      <c r="J446" t="str">
        <f>_xlfn.XLOOKUP(Table2[[#This Row],[Customer_ID]],Table1[Customer_ID],Table1[Customer_Name])</f>
        <v>Dona Kinkade</v>
      </c>
    </row>
    <row r="447" spans="1:10" x14ac:dyDescent="0.35">
      <c r="A447" s="4">
        <v>40749</v>
      </c>
      <c r="B447" s="2">
        <v>10578</v>
      </c>
      <c r="C447" s="2">
        <v>311</v>
      </c>
      <c r="D447" s="2">
        <v>31</v>
      </c>
      <c r="E447" s="2">
        <v>55</v>
      </c>
      <c r="F447" s="2">
        <v>1</v>
      </c>
      <c r="G447" s="2">
        <v>1</v>
      </c>
      <c r="H447" s="2">
        <v>6</v>
      </c>
      <c r="I447" s="2">
        <v>25</v>
      </c>
      <c r="J447" t="str">
        <f>_xlfn.XLOOKUP(Table2[[#This Row],[Customer_ID]],Table1[Customer_ID],Table1[Customer_Name])</f>
        <v>Dona Kinkade</v>
      </c>
    </row>
    <row r="448" spans="1:10" x14ac:dyDescent="0.35">
      <c r="A448" s="4">
        <v>40751</v>
      </c>
      <c r="B448" s="2">
        <v>10580</v>
      </c>
      <c r="C448" s="2">
        <v>248</v>
      </c>
      <c r="D448" s="2">
        <v>33</v>
      </c>
      <c r="E448" s="2">
        <v>29</v>
      </c>
      <c r="F448" s="2">
        <v>1</v>
      </c>
      <c r="G448" s="2">
        <v>2</v>
      </c>
      <c r="H448" s="2">
        <v>4</v>
      </c>
      <c r="I448" s="2">
        <v>25</v>
      </c>
      <c r="J448" t="str">
        <f>_xlfn.XLOOKUP(Table2[[#This Row],[Customer_ID]],Table1[Customer_ID],Table1[Customer_Name])</f>
        <v>Douglas Swinson</v>
      </c>
    </row>
    <row r="449" spans="1:10" x14ac:dyDescent="0.35">
      <c r="A449" s="4">
        <v>40751</v>
      </c>
      <c r="B449" s="2">
        <v>10580</v>
      </c>
      <c r="C449" s="2">
        <v>312</v>
      </c>
      <c r="D449" s="2">
        <v>33</v>
      </c>
      <c r="E449" s="2">
        <v>29</v>
      </c>
      <c r="F449" s="2">
        <v>1</v>
      </c>
      <c r="G449" s="2">
        <v>2</v>
      </c>
      <c r="H449" s="2">
        <v>9</v>
      </c>
      <c r="I449" s="2">
        <v>25</v>
      </c>
      <c r="J449" t="str">
        <f>_xlfn.XLOOKUP(Table2[[#This Row],[Customer_ID]],Table1[Customer_ID],Table1[Customer_Name])</f>
        <v>Douglas Swinson</v>
      </c>
    </row>
    <row r="450" spans="1:10" x14ac:dyDescent="0.35">
      <c r="A450" s="4">
        <v>40751</v>
      </c>
      <c r="B450" s="2">
        <v>10580</v>
      </c>
      <c r="C450" s="2">
        <v>245</v>
      </c>
      <c r="D450" s="2">
        <v>33</v>
      </c>
      <c r="E450" s="2">
        <v>29</v>
      </c>
      <c r="F450" s="2">
        <v>1</v>
      </c>
      <c r="G450" s="2">
        <v>3</v>
      </c>
      <c r="H450" s="2">
        <v>2</v>
      </c>
      <c r="I450" s="2">
        <v>25</v>
      </c>
      <c r="J450" t="str">
        <f>_xlfn.XLOOKUP(Table2[[#This Row],[Customer_ID]],Table1[Customer_ID],Table1[Customer_Name])</f>
        <v>Douglas Swinson</v>
      </c>
    </row>
    <row r="451" spans="1:10" x14ac:dyDescent="0.35">
      <c r="A451" s="4">
        <v>40752</v>
      </c>
      <c r="B451" s="2">
        <v>10582</v>
      </c>
      <c r="C451" s="2">
        <v>219</v>
      </c>
      <c r="D451" s="2">
        <v>35</v>
      </c>
      <c r="E451" s="2">
        <v>4</v>
      </c>
      <c r="F451" s="2">
        <v>1</v>
      </c>
      <c r="G451" s="2">
        <v>4</v>
      </c>
      <c r="H451" s="2">
        <v>5</v>
      </c>
      <c r="I451" s="2">
        <v>25</v>
      </c>
      <c r="J451" t="str">
        <f>_xlfn.XLOOKUP(Table2[[#This Row],[Customer_ID]],Table1[Customer_ID],Table1[Customer_Name])</f>
        <v>Dung Do</v>
      </c>
    </row>
    <row r="452" spans="1:10" x14ac:dyDescent="0.35">
      <c r="A452" s="4">
        <v>40752</v>
      </c>
      <c r="B452" s="2">
        <v>10582</v>
      </c>
      <c r="C452" s="2">
        <v>258</v>
      </c>
      <c r="D452" s="2">
        <v>35</v>
      </c>
      <c r="E452" s="2">
        <v>4</v>
      </c>
      <c r="F452" s="2">
        <v>1</v>
      </c>
      <c r="G452" s="2">
        <v>2</v>
      </c>
      <c r="H452" s="2">
        <v>10</v>
      </c>
      <c r="I452" s="2">
        <v>25</v>
      </c>
      <c r="J452" t="str">
        <f>_xlfn.XLOOKUP(Table2[[#This Row],[Customer_ID]],Table1[Customer_ID],Table1[Customer_Name])</f>
        <v>Dung Do</v>
      </c>
    </row>
    <row r="453" spans="1:10" x14ac:dyDescent="0.35">
      <c r="A453" s="4">
        <v>40755</v>
      </c>
      <c r="B453" s="2">
        <v>10584</v>
      </c>
      <c r="C453" s="2">
        <v>249</v>
      </c>
      <c r="D453" s="2">
        <v>37</v>
      </c>
      <c r="E453" s="2">
        <v>88</v>
      </c>
      <c r="F453" s="2">
        <v>1</v>
      </c>
      <c r="G453" s="2">
        <v>2</v>
      </c>
      <c r="H453" s="2">
        <v>4</v>
      </c>
      <c r="I453" s="2">
        <v>25</v>
      </c>
      <c r="J453" t="str">
        <f>_xlfn.XLOOKUP(Table2[[#This Row],[Customer_ID]],Table1[Customer_ID],Table1[Customer_Name])</f>
        <v>Edda Mcquillen</v>
      </c>
    </row>
    <row r="454" spans="1:10" x14ac:dyDescent="0.35">
      <c r="A454" s="4">
        <v>40757</v>
      </c>
      <c r="B454" s="2">
        <v>10586</v>
      </c>
      <c r="C454" s="2">
        <v>390</v>
      </c>
      <c r="D454" s="2">
        <v>39</v>
      </c>
      <c r="E454" s="2">
        <v>57</v>
      </c>
      <c r="F454" s="2">
        <v>1</v>
      </c>
      <c r="G454" s="2">
        <v>2</v>
      </c>
      <c r="H454" s="2">
        <v>11</v>
      </c>
      <c r="I454" s="2">
        <v>25</v>
      </c>
      <c r="J454" t="str">
        <f>_xlfn.XLOOKUP(Table2[[#This Row],[Customer_ID]],Table1[Customer_ID],Table1[Customer_Name])</f>
        <v>Edythe Manney</v>
      </c>
    </row>
    <row r="455" spans="1:10" x14ac:dyDescent="0.35">
      <c r="A455" s="4">
        <v>40758</v>
      </c>
      <c r="B455" s="2">
        <v>10588</v>
      </c>
      <c r="C455" s="2">
        <v>444</v>
      </c>
      <c r="D455" s="2">
        <v>41</v>
      </c>
      <c r="E455" s="2">
        <v>50</v>
      </c>
      <c r="F455" s="2">
        <v>1</v>
      </c>
      <c r="G455" s="2">
        <v>2</v>
      </c>
      <c r="H455" s="2">
        <v>35</v>
      </c>
      <c r="I455" s="2">
        <v>25</v>
      </c>
      <c r="J455" t="str">
        <f>_xlfn.XLOOKUP(Table2[[#This Row],[Customer_ID]],Table1[Customer_ID],Table1[Customer_Name])</f>
        <v>Elicia Rea</v>
      </c>
    </row>
    <row r="456" spans="1:10" x14ac:dyDescent="0.35">
      <c r="A456" s="4">
        <v>40758</v>
      </c>
      <c r="B456" s="2">
        <v>10588</v>
      </c>
      <c r="C456" s="2">
        <v>451</v>
      </c>
      <c r="D456" s="2">
        <v>41</v>
      </c>
      <c r="E456" s="2">
        <v>50</v>
      </c>
      <c r="F456" s="2">
        <v>1</v>
      </c>
      <c r="G456" s="2">
        <v>6</v>
      </c>
      <c r="H456" s="2">
        <v>19</v>
      </c>
      <c r="I456" s="2">
        <v>25</v>
      </c>
      <c r="J456" t="str">
        <f>_xlfn.XLOOKUP(Table2[[#This Row],[Customer_ID]],Table1[Customer_ID],Table1[Customer_Name])</f>
        <v>Elicia Rea</v>
      </c>
    </row>
    <row r="457" spans="1:10" x14ac:dyDescent="0.35">
      <c r="A457" s="4">
        <v>40762</v>
      </c>
      <c r="B457" s="2">
        <v>10590</v>
      </c>
      <c r="C457" s="2">
        <v>457</v>
      </c>
      <c r="D457" s="2">
        <v>43</v>
      </c>
      <c r="E457" s="2">
        <v>17</v>
      </c>
      <c r="F457" s="2">
        <v>1</v>
      </c>
      <c r="G457" s="2">
        <v>3</v>
      </c>
      <c r="H457" s="2">
        <v>19</v>
      </c>
      <c r="I457" s="2">
        <v>25</v>
      </c>
      <c r="J457" t="str">
        <f>_xlfn.XLOOKUP(Table2[[#This Row],[Customer_ID]],Table1[Customer_ID],Table1[Customer_Name])</f>
        <v>Eric Eshelman</v>
      </c>
    </row>
    <row r="458" spans="1:10" x14ac:dyDescent="0.35">
      <c r="A458" s="4">
        <v>40762</v>
      </c>
      <c r="B458" s="2">
        <v>10590</v>
      </c>
      <c r="C458" s="2">
        <v>442</v>
      </c>
      <c r="D458" s="2">
        <v>43</v>
      </c>
      <c r="E458" s="2">
        <v>17</v>
      </c>
      <c r="F458" s="2">
        <v>1</v>
      </c>
      <c r="G458" s="2">
        <v>2</v>
      </c>
      <c r="H458" s="2">
        <v>30</v>
      </c>
      <c r="I458" s="2">
        <v>25</v>
      </c>
      <c r="J458" t="str">
        <f>_xlfn.XLOOKUP(Table2[[#This Row],[Customer_ID]],Table1[Customer_ID],Table1[Customer_Name])</f>
        <v>Eric Eshelman</v>
      </c>
    </row>
    <row r="459" spans="1:10" x14ac:dyDescent="0.35">
      <c r="A459" s="4">
        <v>40763</v>
      </c>
      <c r="B459" s="2">
        <v>10592</v>
      </c>
      <c r="C459" s="2">
        <v>456</v>
      </c>
      <c r="D459" s="2">
        <v>45</v>
      </c>
      <c r="E459" s="2">
        <v>47</v>
      </c>
      <c r="F459" s="2">
        <v>1</v>
      </c>
      <c r="G459" s="2">
        <v>8</v>
      </c>
      <c r="H459" s="2">
        <v>16</v>
      </c>
      <c r="I459" s="2">
        <v>25</v>
      </c>
      <c r="J459" t="str">
        <f>_xlfn.XLOOKUP(Table2[[#This Row],[Customer_ID]],Table1[Customer_ID],Table1[Customer_Name])</f>
        <v>Everette Ellery</v>
      </c>
    </row>
    <row r="460" spans="1:10" x14ac:dyDescent="0.35">
      <c r="A460" s="4">
        <v>40763</v>
      </c>
      <c r="B460" s="2">
        <v>10592</v>
      </c>
      <c r="C460" s="2">
        <v>38</v>
      </c>
      <c r="D460" s="2">
        <v>45</v>
      </c>
      <c r="E460" s="2">
        <v>47</v>
      </c>
      <c r="F460" s="2">
        <v>1</v>
      </c>
      <c r="G460" s="2">
        <v>2</v>
      </c>
      <c r="H460" s="2">
        <v>8</v>
      </c>
      <c r="I460" s="2">
        <v>25</v>
      </c>
      <c r="J460" t="str">
        <f>_xlfn.XLOOKUP(Table2[[#This Row],[Customer_ID]],Table1[Customer_ID],Table1[Customer_Name])</f>
        <v>Everette Ellery</v>
      </c>
    </row>
    <row r="461" spans="1:10" x14ac:dyDescent="0.35">
      <c r="A461" s="4">
        <v>40764</v>
      </c>
      <c r="B461" s="2">
        <v>10594</v>
      </c>
      <c r="C461" s="2">
        <v>426</v>
      </c>
      <c r="D461" s="2">
        <v>47</v>
      </c>
      <c r="E461" s="2">
        <v>3</v>
      </c>
      <c r="F461" s="2">
        <v>1</v>
      </c>
      <c r="G461" s="2">
        <v>2</v>
      </c>
      <c r="H461" s="2">
        <v>7</v>
      </c>
      <c r="I461" s="2">
        <v>25</v>
      </c>
      <c r="J461" t="str">
        <f>_xlfn.XLOOKUP(Table2[[#This Row],[Customer_ID]],Table1[Customer_ID],Table1[Customer_Name])</f>
        <v>Fe Finchum</v>
      </c>
    </row>
    <row r="462" spans="1:10" x14ac:dyDescent="0.35">
      <c r="A462" s="4">
        <v>40764</v>
      </c>
      <c r="B462" s="2">
        <v>10594</v>
      </c>
      <c r="C462" s="2">
        <v>414</v>
      </c>
      <c r="D462" s="2">
        <v>47</v>
      </c>
      <c r="E462" s="2">
        <v>3</v>
      </c>
      <c r="F462" s="2">
        <v>1</v>
      </c>
      <c r="G462" s="2">
        <v>3</v>
      </c>
      <c r="H462" s="2">
        <v>16</v>
      </c>
      <c r="I462" s="2">
        <v>25</v>
      </c>
      <c r="J462" t="str">
        <f>_xlfn.XLOOKUP(Table2[[#This Row],[Customer_ID]],Table1[Customer_ID],Table1[Customer_Name])</f>
        <v>Fe Finchum</v>
      </c>
    </row>
    <row r="463" spans="1:10" x14ac:dyDescent="0.35">
      <c r="A463" s="4">
        <v>40766</v>
      </c>
      <c r="B463" s="2">
        <v>10596</v>
      </c>
      <c r="C463" s="2">
        <v>399</v>
      </c>
      <c r="D463" s="2">
        <v>49</v>
      </c>
      <c r="E463" s="2">
        <v>52</v>
      </c>
      <c r="F463" s="2">
        <v>1</v>
      </c>
      <c r="G463" s="2">
        <v>5</v>
      </c>
      <c r="H463" s="2">
        <v>8</v>
      </c>
      <c r="I463" s="2">
        <v>25</v>
      </c>
      <c r="J463" t="str">
        <f>_xlfn.XLOOKUP(Table2[[#This Row],[Customer_ID]],Table1[Customer_ID],Table1[Customer_Name])</f>
        <v>Geraldo Stickney</v>
      </c>
    </row>
    <row r="464" spans="1:10" x14ac:dyDescent="0.35">
      <c r="A464" s="4">
        <v>40766</v>
      </c>
      <c r="B464" s="2">
        <v>10596</v>
      </c>
      <c r="C464" s="2">
        <v>353</v>
      </c>
      <c r="D464" s="2">
        <v>49</v>
      </c>
      <c r="E464" s="2">
        <v>51</v>
      </c>
      <c r="F464" s="2">
        <v>1</v>
      </c>
      <c r="G464" s="2">
        <v>2</v>
      </c>
      <c r="H464" s="2">
        <v>33</v>
      </c>
      <c r="I464" s="2">
        <v>25</v>
      </c>
      <c r="J464" t="str">
        <f>_xlfn.XLOOKUP(Table2[[#This Row],[Customer_ID]],Table1[Customer_ID],Table1[Customer_Name])</f>
        <v>Geraldo Stickney</v>
      </c>
    </row>
    <row r="465" spans="1:10" x14ac:dyDescent="0.35">
      <c r="A465" s="4">
        <v>40766</v>
      </c>
      <c r="B465" s="2">
        <v>10596</v>
      </c>
      <c r="C465" s="2">
        <v>391</v>
      </c>
      <c r="D465" s="2">
        <v>49</v>
      </c>
      <c r="E465" s="2">
        <v>52</v>
      </c>
      <c r="F465" s="2">
        <v>1</v>
      </c>
      <c r="G465" s="2">
        <v>1</v>
      </c>
      <c r="H465" s="2">
        <v>8</v>
      </c>
      <c r="I465" s="2">
        <v>25</v>
      </c>
      <c r="J465" t="str">
        <f>_xlfn.XLOOKUP(Table2[[#This Row],[Customer_ID]],Table1[Customer_ID],Table1[Customer_Name])</f>
        <v>Geraldo Stickney</v>
      </c>
    </row>
    <row r="466" spans="1:10" x14ac:dyDescent="0.35">
      <c r="A466" s="4">
        <v>40769</v>
      </c>
      <c r="B466" s="2">
        <v>10598</v>
      </c>
      <c r="C466" s="2">
        <v>350</v>
      </c>
      <c r="D466" s="2">
        <v>51</v>
      </c>
      <c r="E466" s="2">
        <v>24</v>
      </c>
      <c r="F466" s="2">
        <v>1</v>
      </c>
      <c r="G466" s="2">
        <v>1</v>
      </c>
      <c r="H466" s="2">
        <v>59</v>
      </c>
      <c r="I466" s="2">
        <v>25</v>
      </c>
      <c r="J466" t="str">
        <f>_xlfn.XLOOKUP(Table2[[#This Row],[Customer_ID]],Table1[Customer_ID],Table1[Customer_Name])</f>
        <v>Gladis Hasan</v>
      </c>
    </row>
    <row r="467" spans="1:10" x14ac:dyDescent="0.35">
      <c r="A467" s="4">
        <v>40769</v>
      </c>
      <c r="B467" s="2">
        <v>10598</v>
      </c>
      <c r="C467" s="2">
        <v>392</v>
      </c>
      <c r="D467" s="2">
        <v>51</v>
      </c>
      <c r="E467" s="2">
        <v>24</v>
      </c>
      <c r="F467" s="2">
        <v>1</v>
      </c>
      <c r="G467" s="2">
        <v>1</v>
      </c>
      <c r="H467" s="2">
        <v>6</v>
      </c>
      <c r="I467" s="2">
        <v>25</v>
      </c>
      <c r="J467" t="str">
        <f>_xlfn.XLOOKUP(Table2[[#This Row],[Customer_ID]],Table1[Customer_ID],Table1[Customer_Name])</f>
        <v>Gladis Hasan</v>
      </c>
    </row>
    <row r="468" spans="1:10" x14ac:dyDescent="0.35">
      <c r="A468" s="4">
        <v>40771</v>
      </c>
      <c r="B468" s="2">
        <v>10600</v>
      </c>
      <c r="C468" s="2">
        <v>184</v>
      </c>
      <c r="D468" s="2">
        <v>53</v>
      </c>
      <c r="E468" s="2">
        <v>42</v>
      </c>
      <c r="F468" s="2">
        <v>1</v>
      </c>
      <c r="G468" s="2">
        <v>1</v>
      </c>
      <c r="H468" s="2">
        <v>369</v>
      </c>
      <c r="I468" s="2">
        <v>25</v>
      </c>
      <c r="J468" t="str">
        <f>_xlfn.XLOOKUP(Table2[[#This Row],[Customer_ID]],Table1[Customer_ID],Table1[Customer_Name])</f>
        <v>Gracia Jelks</v>
      </c>
    </row>
    <row r="469" spans="1:10" x14ac:dyDescent="0.35">
      <c r="A469" s="4">
        <v>40771</v>
      </c>
      <c r="B469" s="2">
        <v>10600</v>
      </c>
      <c r="C469" s="2">
        <v>185</v>
      </c>
      <c r="D469" s="2">
        <v>53</v>
      </c>
      <c r="E469" s="2">
        <v>42</v>
      </c>
      <c r="F469" s="2">
        <v>1</v>
      </c>
      <c r="G469" s="2">
        <v>6</v>
      </c>
      <c r="H469" s="2">
        <v>505</v>
      </c>
      <c r="I469" s="2">
        <v>25</v>
      </c>
      <c r="J469" t="str">
        <f>_xlfn.XLOOKUP(Table2[[#This Row],[Customer_ID]],Table1[Customer_ID],Table1[Customer_Name])</f>
        <v>Gracia Jelks</v>
      </c>
    </row>
    <row r="470" spans="1:10" x14ac:dyDescent="0.35">
      <c r="A470" s="4">
        <v>40772</v>
      </c>
      <c r="B470" s="2">
        <v>10602</v>
      </c>
      <c r="C470" s="2">
        <v>28</v>
      </c>
      <c r="D470" s="2">
        <v>55</v>
      </c>
      <c r="E470" s="2">
        <v>53</v>
      </c>
      <c r="F470" s="2">
        <v>1</v>
      </c>
      <c r="G470" s="2">
        <v>6</v>
      </c>
      <c r="H470" s="2">
        <v>421</v>
      </c>
      <c r="I470" s="2">
        <v>25</v>
      </c>
      <c r="J470" t="str">
        <f>_xlfn.XLOOKUP(Table2[[#This Row],[Customer_ID]],Table1[Customer_ID],Table1[Customer_Name])</f>
        <v>Harrison Hugh</v>
      </c>
    </row>
    <row r="471" spans="1:10" x14ac:dyDescent="0.35">
      <c r="A471" s="4">
        <v>40773</v>
      </c>
      <c r="B471" s="2">
        <v>10604</v>
      </c>
      <c r="C471" s="2">
        <v>119</v>
      </c>
      <c r="D471" s="2">
        <v>57</v>
      </c>
      <c r="E471" s="2">
        <v>28</v>
      </c>
      <c r="F471" s="2">
        <v>1</v>
      </c>
      <c r="G471" s="2">
        <v>1</v>
      </c>
      <c r="H471" s="2">
        <v>1302</v>
      </c>
      <c r="I471" s="2">
        <v>25</v>
      </c>
      <c r="J471" t="str">
        <f>_xlfn.XLOOKUP(Table2[[#This Row],[Customer_ID]],Table1[Customer_ID],Table1[Customer_Name])</f>
        <v>Ina Iversen</v>
      </c>
    </row>
    <row r="472" spans="1:10" x14ac:dyDescent="0.35">
      <c r="A472" s="4">
        <v>40773</v>
      </c>
      <c r="B472" s="2">
        <v>10604</v>
      </c>
      <c r="C472" s="2">
        <v>118</v>
      </c>
      <c r="D472" s="2">
        <v>57</v>
      </c>
      <c r="E472" s="2">
        <v>28</v>
      </c>
      <c r="F472" s="2">
        <v>1</v>
      </c>
      <c r="G472" s="2">
        <v>6</v>
      </c>
      <c r="H472" s="2">
        <v>983</v>
      </c>
      <c r="I472" s="2">
        <v>25</v>
      </c>
      <c r="J472" t="str">
        <f>_xlfn.XLOOKUP(Table2[[#This Row],[Customer_ID]],Table1[Customer_ID],Table1[Customer_Name])</f>
        <v>Ina Iversen</v>
      </c>
    </row>
    <row r="473" spans="1:10" x14ac:dyDescent="0.35">
      <c r="A473" s="4">
        <v>40777</v>
      </c>
      <c r="B473" s="2">
        <v>10606</v>
      </c>
      <c r="C473" s="2">
        <v>33</v>
      </c>
      <c r="D473" s="2">
        <v>59</v>
      </c>
      <c r="E473" s="2">
        <v>79</v>
      </c>
      <c r="F473" s="2">
        <v>1</v>
      </c>
      <c r="G473" s="2">
        <v>6</v>
      </c>
      <c r="H473" s="2">
        <v>32</v>
      </c>
      <c r="I473" s="2">
        <v>25</v>
      </c>
      <c r="J473" t="str">
        <f>_xlfn.XLOOKUP(Table2[[#This Row],[Customer_ID]],Table1[Customer_ID],Table1[Customer_Name])</f>
        <v>Janella Vallo</v>
      </c>
    </row>
    <row r="474" spans="1:10" x14ac:dyDescent="0.35">
      <c r="A474" s="4">
        <v>40777</v>
      </c>
      <c r="B474" s="2">
        <v>10606</v>
      </c>
      <c r="C474" s="2">
        <v>69</v>
      </c>
      <c r="D474" s="2">
        <v>59</v>
      </c>
      <c r="E474" s="2">
        <v>79</v>
      </c>
      <c r="F474" s="2">
        <v>1</v>
      </c>
      <c r="G474" s="2">
        <v>7</v>
      </c>
      <c r="H474" s="2">
        <v>21</v>
      </c>
      <c r="I474" s="2">
        <v>25</v>
      </c>
      <c r="J474" t="str">
        <f>_xlfn.XLOOKUP(Table2[[#This Row],[Customer_ID]],Table1[Customer_ID],Table1[Customer_Name])</f>
        <v>Janella Vallo</v>
      </c>
    </row>
    <row r="475" spans="1:10" x14ac:dyDescent="0.35">
      <c r="A475" s="4">
        <v>40777</v>
      </c>
      <c r="B475" s="2">
        <v>10606</v>
      </c>
      <c r="C475" s="2">
        <v>117</v>
      </c>
      <c r="D475" s="2">
        <v>59</v>
      </c>
      <c r="E475" s="2">
        <v>79</v>
      </c>
      <c r="F475" s="2">
        <v>1</v>
      </c>
      <c r="G475" s="2">
        <v>8</v>
      </c>
      <c r="H475" s="2">
        <v>3016</v>
      </c>
      <c r="I475" s="2">
        <v>25</v>
      </c>
      <c r="J475" t="str">
        <f>_xlfn.XLOOKUP(Table2[[#This Row],[Customer_ID]],Table1[Customer_ID],Table1[Customer_Name])</f>
        <v>Janella Vallo</v>
      </c>
    </row>
    <row r="476" spans="1:10" x14ac:dyDescent="0.35">
      <c r="A476" s="4">
        <v>40778</v>
      </c>
      <c r="B476" s="2">
        <v>10608</v>
      </c>
      <c r="C476" s="2">
        <v>250</v>
      </c>
      <c r="D476" s="2">
        <v>61</v>
      </c>
      <c r="E476" s="2">
        <v>24</v>
      </c>
      <c r="F476" s="2">
        <v>1</v>
      </c>
      <c r="G476" s="2">
        <v>3</v>
      </c>
      <c r="H476" s="2">
        <v>35</v>
      </c>
      <c r="I476" s="2">
        <v>25</v>
      </c>
      <c r="J476" t="str">
        <f>_xlfn.XLOOKUP(Table2[[#This Row],[Customer_ID]],Table1[Customer_ID],Table1[Customer_Name])</f>
        <v>Jeanelle Joynes</v>
      </c>
    </row>
    <row r="477" spans="1:10" x14ac:dyDescent="0.35">
      <c r="A477" s="4">
        <v>40780</v>
      </c>
      <c r="B477" s="2">
        <v>10610</v>
      </c>
      <c r="C477" s="2">
        <v>46</v>
      </c>
      <c r="D477" s="2">
        <v>63</v>
      </c>
      <c r="E477" s="2">
        <v>33</v>
      </c>
      <c r="F477" s="2">
        <v>1</v>
      </c>
      <c r="G477" s="2">
        <v>9</v>
      </c>
      <c r="H477" s="2">
        <v>33</v>
      </c>
      <c r="I477" s="2">
        <v>25</v>
      </c>
      <c r="J477" t="str">
        <f>_xlfn.XLOOKUP(Table2[[#This Row],[Customer_ID]],Table1[Customer_ID],Table1[Customer_Name])</f>
        <v>Johnathon Tucker</v>
      </c>
    </row>
    <row r="478" spans="1:10" x14ac:dyDescent="0.35">
      <c r="A478" s="4">
        <v>40783</v>
      </c>
      <c r="B478" s="2">
        <v>10612</v>
      </c>
      <c r="C478" s="2">
        <v>346</v>
      </c>
      <c r="D478" s="2">
        <v>65</v>
      </c>
      <c r="E478" s="2">
        <v>31</v>
      </c>
      <c r="F478" s="2">
        <v>1</v>
      </c>
      <c r="G478" s="2">
        <v>7</v>
      </c>
      <c r="H478" s="2">
        <v>2</v>
      </c>
      <c r="I478" s="2">
        <v>25</v>
      </c>
      <c r="J478" t="str">
        <f>_xlfn.XLOOKUP(Table2[[#This Row],[Customer_ID]],Table1[Customer_ID],Table1[Customer_Name])</f>
        <v>Judie Sawicki</v>
      </c>
    </row>
    <row r="479" spans="1:10" x14ac:dyDescent="0.35">
      <c r="A479" s="4">
        <v>40783</v>
      </c>
      <c r="B479" s="2">
        <v>10612</v>
      </c>
      <c r="C479" s="2">
        <v>394</v>
      </c>
      <c r="D479" s="2">
        <v>65</v>
      </c>
      <c r="E479" s="2">
        <v>31</v>
      </c>
      <c r="F479" s="2">
        <v>1</v>
      </c>
      <c r="G479" s="2">
        <v>2</v>
      </c>
      <c r="H479" s="2">
        <v>10</v>
      </c>
      <c r="I479" s="2">
        <v>25</v>
      </c>
      <c r="J479" t="str">
        <f>_xlfn.XLOOKUP(Table2[[#This Row],[Customer_ID]],Table1[Customer_ID],Table1[Customer_Name])</f>
        <v>Judie Sawicki</v>
      </c>
    </row>
    <row r="480" spans="1:10" x14ac:dyDescent="0.35">
      <c r="A480" s="4">
        <v>40783</v>
      </c>
      <c r="B480" s="2">
        <v>10612</v>
      </c>
      <c r="C480" s="2">
        <v>307</v>
      </c>
      <c r="D480" s="2">
        <v>65</v>
      </c>
      <c r="E480" s="2">
        <v>31</v>
      </c>
      <c r="F480" s="2">
        <v>1</v>
      </c>
      <c r="G480" s="2">
        <v>6</v>
      </c>
      <c r="H480" s="2">
        <v>14</v>
      </c>
      <c r="I480" s="2">
        <v>25</v>
      </c>
      <c r="J480" t="str">
        <f>_xlfn.XLOOKUP(Table2[[#This Row],[Customer_ID]],Table1[Customer_ID],Table1[Customer_Name])</f>
        <v>Judie Sawicki</v>
      </c>
    </row>
    <row r="481" spans="1:10" x14ac:dyDescent="0.35">
      <c r="A481" s="4">
        <v>40783</v>
      </c>
      <c r="B481" s="2">
        <v>10612</v>
      </c>
      <c r="C481" s="2">
        <v>355</v>
      </c>
      <c r="D481" s="2">
        <v>65</v>
      </c>
      <c r="E481" s="2">
        <v>31</v>
      </c>
      <c r="F481" s="2">
        <v>1</v>
      </c>
      <c r="G481" s="2">
        <v>1</v>
      </c>
      <c r="H481" s="2">
        <v>62</v>
      </c>
      <c r="I481" s="2">
        <v>25</v>
      </c>
      <c r="J481" t="str">
        <f>_xlfn.XLOOKUP(Table2[[#This Row],[Customer_ID]],Table1[Customer_ID],Table1[Customer_Name])</f>
        <v>Judie Sawicki</v>
      </c>
    </row>
    <row r="482" spans="1:10" x14ac:dyDescent="0.35">
      <c r="A482" s="4">
        <v>40783</v>
      </c>
      <c r="B482" s="2">
        <v>10612</v>
      </c>
      <c r="C482" s="2">
        <v>345</v>
      </c>
      <c r="D482" s="2">
        <v>65</v>
      </c>
      <c r="E482" s="2">
        <v>31</v>
      </c>
      <c r="F482" s="2">
        <v>1</v>
      </c>
      <c r="G482" s="2">
        <v>2</v>
      </c>
      <c r="H482" s="2">
        <v>5</v>
      </c>
      <c r="I482" s="2">
        <v>25</v>
      </c>
      <c r="J482" t="str">
        <f>_xlfn.XLOOKUP(Table2[[#This Row],[Customer_ID]],Table1[Customer_ID],Table1[Customer_Name])</f>
        <v>Judie Sawicki</v>
      </c>
    </row>
    <row r="483" spans="1:10" x14ac:dyDescent="0.35">
      <c r="A483" s="4">
        <v>40784</v>
      </c>
      <c r="B483" s="2">
        <v>10614</v>
      </c>
      <c r="C483" s="2">
        <v>162</v>
      </c>
      <c r="D483" s="2">
        <v>67</v>
      </c>
      <c r="E483" s="2">
        <v>38</v>
      </c>
      <c r="F483" s="2">
        <v>1</v>
      </c>
      <c r="G483" s="2">
        <v>5</v>
      </c>
      <c r="H483" s="2">
        <v>3992</v>
      </c>
      <c r="I483" s="2">
        <v>25</v>
      </c>
      <c r="J483" t="str">
        <f>_xlfn.XLOOKUP(Table2[[#This Row],[Customer_ID]],Table1[Customer_ID],Table1[Customer_Name])</f>
        <v>Kaitlyn Killian</v>
      </c>
    </row>
    <row r="484" spans="1:10" x14ac:dyDescent="0.35">
      <c r="A484" s="4">
        <v>40784</v>
      </c>
      <c r="B484" s="2">
        <v>10614</v>
      </c>
      <c r="C484" s="2">
        <v>147</v>
      </c>
      <c r="D484" s="2">
        <v>67</v>
      </c>
      <c r="E484" s="2">
        <v>38</v>
      </c>
      <c r="F484" s="2">
        <v>1</v>
      </c>
      <c r="G484" s="2">
        <v>4</v>
      </c>
      <c r="H484" s="2">
        <v>576</v>
      </c>
      <c r="I484" s="2">
        <v>25</v>
      </c>
      <c r="J484" t="str">
        <f>_xlfn.XLOOKUP(Table2[[#This Row],[Customer_ID]],Table1[Customer_ID],Table1[Customer_Name])</f>
        <v>Kaitlyn Killian</v>
      </c>
    </row>
    <row r="485" spans="1:10" x14ac:dyDescent="0.35">
      <c r="A485" s="4">
        <v>40784</v>
      </c>
      <c r="B485" s="2">
        <v>10614</v>
      </c>
      <c r="C485" s="2">
        <v>153</v>
      </c>
      <c r="D485" s="2">
        <v>67</v>
      </c>
      <c r="E485" s="2">
        <v>38</v>
      </c>
      <c r="F485" s="2">
        <v>1</v>
      </c>
      <c r="G485" s="2">
        <v>1</v>
      </c>
      <c r="H485" s="2">
        <v>856</v>
      </c>
      <c r="I485" s="2">
        <v>25</v>
      </c>
      <c r="J485" t="str">
        <f>_xlfn.XLOOKUP(Table2[[#This Row],[Customer_ID]],Table1[Customer_ID],Table1[Customer_Name])</f>
        <v>Kaitlyn Killian</v>
      </c>
    </row>
    <row r="486" spans="1:10" x14ac:dyDescent="0.35">
      <c r="A486" s="4">
        <v>40786</v>
      </c>
      <c r="B486" s="2">
        <v>10616</v>
      </c>
      <c r="C486" s="2">
        <v>142</v>
      </c>
      <c r="D486" s="2">
        <v>69</v>
      </c>
      <c r="E486" s="2">
        <v>39</v>
      </c>
      <c r="F486" s="2">
        <v>1</v>
      </c>
      <c r="G486" s="2">
        <v>4</v>
      </c>
      <c r="H486" s="2">
        <v>164</v>
      </c>
      <c r="I486" s="2">
        <v>25</v>
      </c>
      <c r="J486" t="str">
        <f>_xlfn.XLOOKUP(Table2[[#This Row],[Customer_ID]],Table1[Customer_ID],Table1[Customer_Name])</f>
        <v>Kareem Koser</v>
      </c>
    </row>
    <row r="487" spans="1:10" x14ac:dyDescent="0.35">
      <c r="A487" s="4">
        <v>40786</v>
      </c>
      <c r="B487" s="2">
        <v>10616</v>
      </c>
      <c r="C487" s="2">
        <v>177</v>
      </c>
      <c r="D487" s="2">
        <v>69</v>
      </c>
      <c r="E487" s="2">
        <v>39</v>
      </c>
      <c r="F487" s="2">
        <v>1</v>
      </c>
      <c r="G487" s="2">
        <v>6</v>
      </c>
      <c r="H487" s="2">
        <v>758</v>
      </c>
      <c r="I487" s="2">
        <v>25</v>
      </c>
      <c r="J487" t="str">
        <f>_xlfn.XLOOKUP(Table2[[#This Row],[Customer_ID]],Table1[Customer_ID],Table1[Customer_Name])</f>
        <v>Kareem Koser</v>
      </c>
    </row>
    <row r="488" spans="1:10" x14ac:dyDescent="0.35">
      <c r="A488" s="4">
        <v>40786</v>
      </c>
      <c r="B488" s="2">
        <v>10616</v>
      </c>
      <c r="C488" s="2">
        <v>137</v>
      </c>
      <c r="D488" s="2">
        <v>69</v>
      </c>
      <c r="E488" s="2">
        <v>39</v>
      </c>
      <c r="F488" s="2">
        <v>1</v>
      </c>
      <c r="G488" s="2">
        <v>6</v>
      </c>
      <c r="H488" s="2">
        <v>68</v>
      </c>
      <c r="I488" s="2">
        <v>25</v>
      </c>
      <c r="J488" t="str">
        <f>_xlfn.XLOOKUP(Table2[[#This Row],[Customer_ID]],Table1[Customer_ID],Table1[Customer_Name])</f>
        <v>Kareem Koser</v>
      </c>
    </row>
    <row r="489" spans="1:10" x14ac:dyDescent="0.35">
      <c r="A489" s="4">
        <v>40786</v>
      </c>
      <c r="B489" s="2">
        <v>10616</v>
      </c>
      <c r="C489" s="2">
        <v>172</v>
      </c>
      <c r="D489" s="2">
        <v>69</v>
      </c>
      <c r="E489" s="2">
        <v>39</v>
      </c>
      <c r="F489" s="2">
        <v>1</v>
      </c>
      <c r="G489" s="2">
        <v>1</v>
      </c>
      <c r="H489" s="2">
        <v>463</v>
      </c>
      <c r="I489" s="2">
        <v>25</v>
      </c>
      <c r="J489" t="str">
        <f>_xlfn.XLOOKUP(Table2[[#This Row],[Customer_ID]],Table1[Customer_ID],Table1[Customer_Name])</f>
        <v>Kareem Koser</v>
      </c>
    </row>
    <row r="490" spans="1:10" x14ac:dyDescent="0.35">
      <c r="A490" s="4">
        <v>40787</v>
      </c>
      <c r="B490" s="2">
        <v>10618</v>
      </c>
      <c r="C490" s="2">
        <v>224</v>
      </c>
      <c r="D490" s="2">
        <v>71</v>
      </c>
      <c r="E490" s="2">
        <v>51</v>
      </c>
      <c r="F490" s="2">
        <v>1</v>
      </c>
      <c r="G490" s="2">
        <v>3</v>
      </c>
      <c r="H490" s="2">
        <v>5</v>
      </c>
      <c r="I490" s="2">
        <v>25</v>
      </c>
      <c r="J490" t="str">
        <f>_xlfn.XLOOKUP(Table2[[#This Row],[Customer_ID]],Table1[Customer_ID],Table1[Customer_Name])</f>
        <v>Karissa Kircher</v>
      </c>
    </row>
    <row r="491" spans="1:10" x14ac:dyDescent="0.35">
      <c r="A491" s="4">
        <v>40787</v>
      </c>
      <c r="B491" s="2">
        <v>10618</v>
      </c>
      <c r="C491" s="2">
        <v>291</v>
      </c>
      <c r="D491" s="2">
        <v>71</v>
      </c>
      <c r="E491" s="2">
        <v>51</v>
      </c>
      <c r="F491" s="2">
        <v>1</v>
      </c>
      <c r="G491" s="2">
        <v>3</v>
      </c>
      <c r="H491" s="2">
        <v>3</v>
      </c>
      <c r="I491" s="2">
        <v>25</v>
      </c>
      <c r="J491" t="str">
        <f>_xlfn.XLOOKUP(Table2[[#This Row],[Customer_ID]],Table1[Customer_ID],Table1[Customer_Name])</f>
        <v>Karissa Kircher</v>
      </c>
    </row>
    <row r="492" spans="1:10" x14ac:dyDescent="0.35">
      <c r="A492" s="4">
        <v>40787</v>
      </c>
      <c r="B492" s="2">
        <v>10618</v>
      </c>
      <c r="C492" s="2">
        <v>297</v>
      </c>
      <c r="D492" s="2">
        <v>71</v>
      </c>
      <c r="E492" s="2">
        <v>51</v>
      </c>
      <c r="F492" s="2">
        <v>1</v>
      </c>
      <c r="G492" s="2">
        <v>2</v>
      </c>
      <c r="H492" s="2">
        <v>3</v>
      </c>
      <c r="I492" s="2">
        <v>25</v>
      </c>
      <c r="J492" t="str">
        <f>_xlfn.XLOOKUP(Table2[[#This Row],[Customer_ID]],Table1[Customer_ID],Table1[Customer_Name])</f>
        <v>Karissa Kircher</v>
      </c>
    </row>
    <row r="493" spans="1:10" x14ac:dyDescent="0.35">
      <c r="A493" s="4">
        <v>40791</v>
      </c>
      <c r="B493" s="2">
        <v>10620</v>
      </c>
      <c r="C493" s="2">
        <v>369</v>
      </c>
      <c r="D493" s="2">
        <v>73</v>
      </c>
      <c r="E493" s="2">
        <v>16</v>
      </c>
      <c r="F493" s="2">
        <v>1</v>
      </c>
      <c r="G493" s="2">
        <v>2</v>
      </c>
      <c r="H493" s="2">
        <v>6</v>
      </c>
      <c r="I493" s="2">
        <v>25</v>
      </c>
      <c r="J493" t="str">
        <f>_xlfn.XLOOKUP(Table2[[#This Row],[Customer_ID]],Table1[Customer_ID],Table1[Customer_Name])</f>
        <v>Katharine Pearcy</v>
      </c>
    </row>
    <row r="494" spans="1:10" x14ac:dyDescent="0.35">
      <c r="A494" s="4">
        <v>40791</v>
      </c>
      <c r="B494" s="2">
        <v>10620</v>
      </c>
      <c r="C494" s="2">
        <v>365</v>
      </c>
      <c r="D494" s="2">
        <v>73</v>
      </c>
      <c r="E494" s="2">
        <v>16</v>
      </c>
      <c r="F494" s="2">
        <v>1</v>
      </c>
      <c r="G494" s="2">
        <v>7</v>
      </c>
      <c r="H494" s="2">
        <v>7</v>
      </c>
      <c r="I494" s="2">
        <v>25</v>
      </c>
      <c r="J494" t="str">
        <f>_xlfn.XLOOKUP(Table2[[#This Row],[Customer_ID]],Table1[Customer_ID],Table1[Customer_Name])</f>
        <v>Katharine Pearcy</v>
      </c>
    </row>
    <row r="495" spans="1:10" x14ac:dyDescent="0.35">
      <c r="A495" s="4">
        <v>40792</v>
      </c>
      <c r="B495" s="2">
        <v>10622</v>
      </c>
      <c r="C495" s="2">
        <v>101</v>
      </c>
      <c r="D495" s="2">
        <v>75</v>
      </c>
      <c r="F495" s="2">
        <v>1</v>
      </c>
      <c r="G495" s="2">
        <v>3</v>
      </c>
      <c r="H495" s="2">
        <v>706</v>
      </c>
      <c r="I495" s="2">
        <v>25</v>
      </c>
      <c r="J495" t="str">
        <f>_xlfn.XLOOKUP(Table2[[#This Row],[Customer_ID]],Table1[Customer_ID],Table1[Customer_Name])</f>
        <v>Keisha Koh</v>
      </c>
    </row>
    <row r="496" spans="1:10" x14ac:dyDescent="0.35">
      <c r="A496" s="4">
        <v>40792</v>
      </c>
      <c r="B496" s="2">
        <v>10622</v>
      </c>
      <c r="C496" s="2">
        <v>102</v>
      </c>
      <c r="D496" s="2">
        <v>75</v>
      </c>
      <c r="F496" s="2">
        <v>1</v>
      </c>
      <c r="G496" s="2">
        <v>5</v>
      </c>
      <c r="H496" s="2">
        <v>495</v>
      </c>
      <c r="I496" s="2">
        <v>25</v>
      </c>
      <c r="J496" t="str">
        <f>_xlfn.XLOOKUP(Table2[[#This Row],[Customer_ID]],Table1[Customer_ID],Table1[Customer_Name])</f>
        <v>Keisha Koh</v>
      </c>
    </row>
    <row r="497" spans="1:10" x14ac:dyDescent="0.35">
      <c r="A497" s="4">
        <v>40793</v>
      </c>
      <c r="B497" s="2">
        <v>10624</v>
      </c>
      <c r="C497" s="2">
        <v>93</v>
      </c>
      <c r="D497" s="2">
        <v>77</v>
      </c>
      <c r="F497" s="2">
        <v>1</v>
      </c>
      <c r="G497" s="2">
        <v>1</v>
      </c>
      <c r="H497" s="2">
        <v>712</v>
      </c>
      <c r="I497" s="2">
        <v>25</v>
      </c>
      <c r="J497" t="str">
        <f>_xlfn.XLOOKUP(Table2[[#This Row],[Customer_ID]],Table1[Customer_ID],Table1[Customer_Name])</f>
        <v>Kyla Danek</v>
      </c>
    </row>
    <row r="498" spans="1:10" x14ac:dyDescent="0.35">
      <c r="A498" s="4">
        <v>40793</v>
      </c>
      <c r="B498" s="2">
        <v>10624</v>
      </c>
      <c r="C498" s="2">
        <v>91</v>
      </c>
      <c r="D498" s="2">
        <v>77</v>
      </c>
      <c r="F498" s="2">
        <v>1</v>
      </c>
      <c r="G498" s="2">
        <v>3</v>
      </c>
      <c r="H498" s="2">
        <v>480</v>
      </c>
      <c r="I498" s="2">
        <v>25</v>
      </c>
      <c r="J498" t="str">
        <f>_xlfn.XLOOKUP(Table2[[#This Row],[Customer_ID]],Table1[Customer_ID],Table1[Customer_Name])</f>
        <v>Kyla Danek</v>
      </c>
    </row>
    <row r="499" spans="1:10" x14ac:dyDescent="0.35">
      <c r="A499" s="4">
        <v>40793</v>
      </c>
      <c r="B499" s="2">
        <v>10624</v>
      </c>
      <c r="C499" s="2">
        <v>94</v>
      </c>
      <c r="D499" s="2">
        <v>77</v>
      </c>
      <c r="F499" s="2">
        <v>1</v>
      </c>
      <c r="G499" s="2">
        <v>1</v>
      </c>
      <c r="H499" s="2">
        <v>487</v>
      </c>
      <c r="I499" s="2">
        <v>25</v>
      </c>
      <c r="J499" t="str">
        <f>_xlfn.XLOOKUP(Table2[[#This Row],[Customer_ID]],Table1[Customer_ID],Table1[Customer_Name])</f>
        <v>Kyla Danek</v>
      </c>
    </row>
    <row r="500" spans="1:10" x14ac:dyDescent="0.35">
      <c r="A500" s="4">
        <v>40797</v>
      </c>
      <c r="B500" s="2">
        <v>10626</v>
      </c>
      <c r="C500" s="2">
        <v>423</v>
      </c>
      <c r="D500" s="2">
        <v>79</v>
      </c>
      <c r="F500" s="2">
        <v>1</v>
      </c>
      <c r="G500" s="2">
        <v>1</v>
      </c>
      <c r="H500" s="2">
        <v>18</v>
      </c>
      <c r="I500" s="2">
        <v>25</v>
      </c>
      <c r="J500" t="str">
        <f>_xlfn.XLOOKUP(Table2[[#This Row],[Customer_ID]],Table1[Customer_ID],Table1[Customer_Name])</f>
        <v>Lala Ladue</v>
      </c>
    </row>
    <row r="501" spans="1:10" x14ac:dyDescent="0.35">
      <c r="A501" s="4">
        <v>40797</v>
      </c>
      <c r="B501" s="2">
        <v>10626</v>
      </c>
      <c r="C501" s="2">
        <v>445</v>
      </c>
      <c r="D501" s="2">
        <v>79</v>
      </c>
      <c r="F501" s="2">
        <v>1</v>
      </c>
      <c r="G501" s="2">
        <v>2</v>
      </c>
      <c r="H501" s="2">
        <v>46</v>
      </c>
      <c r="I501" s="2">
        <v>25</v>
      </c>
      <c r="J501" t="str">
        <f>_xlfn.XLOOKUP(Table2[[#This Row],[Customer_ID]],Table1[Customer_ID],Table1[Customer_Name])</f>
        <v>Lala Ladue</v>
      </c>
    </row>
    <row r="502" spans="1:10" x14ac:dyDescent="0.35">
      <c r="A502" s="4">
        <v>40797</v>
      </c>
      <c r="B502" s="2">
        <v>10626</v>
      </c>
      <c r="C502" s="2">
        <v>430</v>
      </c>
      <c r="D502" s="2">
        <v>79</v>
      </c>
      <c r="F502" s="2">
        <v>1</v>
      </c>
      <c r="G502" s="2">
        <v>2</v>
      </c>
      <c r="H502" s="2">
        <v>18</v>
      </c>
      <c r="I502" s="2">
        <v>25</v>
      </c>
      <c r="J502" t="str">
        <f>_xlfn.XLOOKUP(Table2[[#This Row],[Customer_ID]],Table1[Customer_ID],Table1[Customer_Name])</f>
        <v>Lala Ladue</v>
      </c>
    </row>
    <row r="503" spans="1:10" x14ac:dyDescent="0.35">
      <c r="A503" s="4">
        <v>40798</v>
      </c>
      <c r="B503" s="2">
        <v>10628</v>
      </c>
      <c r="C503" s="2">
        <v>448</v>
      </c>
      <c r="D503" s="2">
        <v>81</v>
      </c>
      <c r="F503" s="2">
        <v>1</v>
      </c>
      <c r="G503" s="2">
        <v>8</v>
      </c>
      <c r="H503" s="2">
        <v>47</v>
      </c>
      <c r="I503" s="2">
        <v>25</v>
      </c>
      <c r="J503" t="str">
        <f>_xlfn.XLOOKUP(Table2[[#This Row],[Customer_ID]],Table1[Customer_ID],Table1[Customer_Name])</f>
        <v>Leanne Lockhart</v>
      </c>
    </row>
    <row r="504" spans="1:10" x14ac:dyDescent="0.35">
      <c r="A504" s="4">
        <v>40799</v>
      </c>
      <c r="B504" s="2">
        <v>10630</v>
      </c>
      <c r="C504" s="2">
        <v>434</v>
      </c>
      <c r="D504" s="2">
        <v>83</v>
      </c>
      <c r="F504" s="2">
        <v>1</v>
      </c>
      <c r="G504" s="2">
        <v>2</v>
      </c>
      <c r="H504" s="2">
        <v>24</v>
      </c>
      <c r="I504" s="2">
        <v>25</v>
      </c>
      <c r="J504" t="str">
        <f>_xlfn.XLOOKUP(Table2[[#This Row],[Customer_ID]],Table1[Customer_ID],Table1[Customer_Name])</f>
        <v>Lily Weatherford</v>
      </c>
    </row>
    <row r="505" spans="1:10" x14ac:dyDescent="0.35">
      <c r="A505" s="4">
        <v>40799</v>
      </c>
      <c r="B505" s="2">
        <v>10630</v>
      </c>
      <c r="C505" s="2">
        <v>236</v>
      </c>
      <c r="D505" s="2">
        <v>83</v>
      </c>
      <c r="F505" s="2">
        <v>1</v>
      </c>
      <c r="G505" s="2">
        <v>4</v>
      </c>
      <c r="H505" s="2">
        <v>28</v>
      </c>
      <c r="I505" s="2">
        <v>25</v>
      </c>
      <c r="J505" t="str">
        <f>_xlfn.XLOOKUP(Table2[[#This Row],[Customer_ID]],Table1[Customer_ID],Table1[Customer_Name])</f>
        <v>Lily Weatherford</v>
      </c>
    </row>
    <row r="506" spans="1:10" x14ac:dyDescent="0.35">
      <c r="A506" s="4">
        <v>40800</v>
      </c>
      <c r="B506" s="2">
        <v>10632</v>
      </c>
      <c r="C506" s="2">
        <v>58</v>
      </c>
      <c r="D506" s="2">
        <v>85</v>
      </c>
      <c r="F506" s="2">
        <v>1</v>
      </c>
      <c r="G506" s="2">
        <v>2</v>
      </c>
      <c r="H506" s="2">
        <v>14</v>
      </c>
      <c r="I506" s="2">
        <v>25</v>
      </c>
      <c r="J506" t="str">
        <f>_xlfn.XLOOKUP(Table2[[#This Row],[Customer_ID]],Table1[Customer_ID],Table1[Customer_Name])</f>
        <v>Lissette Layton</v>
      </c>
    </row>
    <row r="507" spans="1:10" x14ac:dyDescent="0.35">
      <c r="A507" s="4">
        <v>40800</v>
      </c>
      <c r="B507" s="2">
        <v>10632</v>
      </c>
      <c r="C507" s="2">
        <v>59</v>
      </c>
      <c r="D507" s="2">
        <v>85</v>
      </c>
      <c r="F507" s="2">
        <v>1</v>
      </c>
      <c r="G507" s="2">
        <v>1</v>
      </c>
      <c r="H507" s="2">
        <v>11</v>
      </c>
      <c r="I507" s="2">
        <v>25</v>
      </c>
      <c r="J507" t="str">
        <f>_xlfn.XLOOKUP(Table2[[#This Row],[Customer_ID]],Table1[Customer_ID],Table1[Customer_Name])</f>
        <v>Lissette Layton</v>
      </c>
    </row>
    <row r="508" spans="1:10" x14ac:dyDescent="0.35">
      <c r="A508" s="4">
        <v>40801</v>
      </c>
      <c r="B508" s="2">
        <v>10634</v>
      </c>
      <c r="C508" s="2">
        <v>192</v>
      </c>
      <c r="D508" s="2">
        <v>87</v>
      </c>
      <c r="F508" s="2">
        <v>1</v>
      </c>
      <c r="G508" s="2">
        <v>7</v>
      </c>
      <c r="H508" s="2">
        <v>10</v>
      </c>
      <c r="I508" s="2">
        <v>25</v>
      </c>
      <c r="J508" t="str">
        <f>_xlfn.XLOOKUP(Table2[[#This Row],[Customer_ID]],Table1[Customer_ID],Table1[Customer_Name])</f>
        <v>Lynnette Loyola</v>
      </c>
    </row>
    <row r="509" spans="1:10" x14ac:dyDescent="0.35">
      <c r="A509" s="4">
        <v>40801</v>
      </c>
      <c r="B509" s="2">
        <v>10634</v>
      </c>
      <c r="C509" s="2">
        <v>331</v>
      </c>
      <c r="D509" s="2">
        <v>87</v>
      </c>
      <c r="F509" s="2">
        <v>1</v>
      </c>
      <c r="G509" s="2">
        <v>7</v>
      </c>
      <c r="H509" s="2">
        <v>11</v>
      </c>
      <c r="I509" s="2">
        <v>25</v>
      </c>
      <c r="J509" t="str">
        <f>_xlfn.XLOOKUP(Table2[[#This Row],[Customer_ID]],Table1[Customer_ID],Table1[Customer_Name])</f>
        <v>Lynnette Loyola</v>
      </c>
    </row>
    <row r="510" spans="1:10" x14ac:dyDescent="0.35">
      <c r="A510" s="4">
        <v>40801</v>
      </c>
      <c r="B510" s="2">
        <v>10634</v>
      </c>
      <c r="C510" s="2">
        <v>333</v>
      </c>
      <c r="D510" s="2">
        <v>87</v>
      </c>
      <c r="F510" s="2">
        <v>1</v>
      </c>
      <c r="G510" s="2">
        <v>3</v>
      </c>
      <c r="H510" s="2">
        <v>46</v>
      </c>
      <c r="I510" s="2">
        <v>25</v>
      </c>
      <c r="J510" t="str">
        <f>_xlfn.XLOOKUP(Table2[[#This Row],[Customer_ID]],Table1[Customer_ID],Table1[Customer_Name])</f>
        <v>Lynnette Loyola</v>
      </c>
    </row>
    <row r="511" spans="1:10" x14ac:dyDescent="0.35">
      <c r="A511" s="4">
        <v>40801</v>
      </c>
      <c r="B511" s="2">
        <v>10634</v>
      </c>
      <c r="C511" s="2">
        <v>62</v>
      </c>
      <c r="D511" s="2">
        <v>87</v>
      </c>
      <c r="F511" s="2">
        <v>1</v>
      </c>
      <c r="G511" s="2">
        <v>6</v>
      </c>
      <c r="H511" s="2">
        <v>6</v>
      </c>
      <c r="I511" s="2">
        <v>25</v>
      </c>
      <c r="J511" t="str">
        <f>_xlfn.XLOOKUP(Table2[[#This Row],[Customer_ID]],Table1[Customer_ID],Table1[Customer_Name])</f>
        <v>Lynnette Loyola</v>
      </c>
    </row>
    <row r="512" spans="1:10" x14ac:dyDescent="0.35">
      <c r="A512" s="4">
        <v>40805</v>
      </c>
      <c r="B512" s="2">
        <v>10636</v>
      </c>
      <c r="C512" s="2">
        <v>409</v>
      </c>
      <c r="D512" s="2">
        <v>89</v>
      </c>
      <c r="F512" s="2">
        <v>1</v>
      </c>
      <c r="G512" s="2">
        <v>4</v>
      </c>
      <c r="H512" s="2">
        <v>10</v>
      </c>
      <c r="I512" s="2">
        <v>25</v>
      </c>
      <c r="J512" t="str">
        <f>_xlfn.XLOOKUP(Table2[[#This Row],[Customer_ID]],Table1[Customer_ID],Table1[Customer_Name])</f>
        <v>Masako Moler</v>
      </c>
    </row>
    <row r="513" spans="1:10" x14ac:dyDescent="0.35">
      <c r="A513" s="4">
        <v>40805</v>
      </c>
      <c r="B513" s="2">
        <v>10636</v>
      </c>
      <c r="C513" s="2">
        <v>449</v>
      </c>
      <c r="D513" s="2">
        <v>89</v>
      </c>
      <c r="F513" s="2">
        <v>1</v>
      </c>
      <c r="G513" s="2">
        <v>6</v>
      </c>
      <c r="H513" s="2">
        <v>19</v>
      </c>
      <c r="I513" s="2">
        <v>25</v>
      </c>
      <c r="J513" t="str">
        <f>_xlfn.XLOOKUP(Table2[[#This Row],[Customer_ID]],Table1[Customer_ID],Table1[Customer_Name])</f>
        <v>Masako Moler</v>
      </c>
    </row>
    <row r="514" spans="1:10" x14ac:dyDescent="0.35">
      <c r="A514" s="4">
        <v>40806</v>
      </c>
      <c r="B514" s="2">
        <v>10638</v>
      </c>
      <c r="C514" s="2">
        <v>226</v>
      </c>
      <c r="D514" s="2">
        <v>91</v>
      </c>
      <c r="F514" s="2">
        <v>1</v>
      </c>
      <c r="G514" s="2">
        <v>2</v>
      </c>
      <c r="H514" s="2">
        <v>4</v>
      </c>
      <c r="I514" s="2">
        <v>25</v>
      </c>
      <c r="J514" t="str">
        <f>_xlfn.XLOOKUP(Table2[[#This Row],[Customer_ID]],Table1[Customer_ID],Table1[Customer_Name])</f>
        <v>Maybelle Bolt</v>
      </c>
    </row>
    <row r="515" spans="1:10" x14ac:dyDescent="0.35">
      <c r="A515" s="4">
        <v>40806</v>
      </c>
      <c r="B515" s="2">
        <v>10638</v>
      </c>
      <c r="C515" s="2">
        <v>214</v>
      </c>
      <c r="D515" s="2">
        <v>91</v>
      </c>
      <c r="F515" s="2">
        <v>1</v>
      </c>
      <c r="G515" s="2">
        <v>6</v>
      </c>
      <c r="H515" s="2">
        <v>7</v>
      </c>
      <c r="I515" s="2">
        <v>25</v>
      </c>
      <c r="J515" t="str">
        <f>_xlfn.XLOOKUP(Table2[[#This Row],[Customer_ID]],Table1[Customer_ID],Table1[Customer_Name])</f>
        <v>Maybelle Bolt</v>
      </c>
    </row>
    <row r="516" spans="1:10" x14ac:dyDescent="0.35">
      <c r="A516" s="4">
        <v>40806</v>
      </c>
      <c r="B516" s="2">
        <v>10638</v>
      </c>
      <c r="C516" s="2">
        <v>189</v>
      </c>
      <c r="D516" s="2">
        <v>91</v>
      </c>
      <c r="F516" s="2">
        <v>1</v>
      </c>
      <c r="G516" s="2">
        <v>2</v>
      </c>
      <c r="H516" s="2">
        <v>9</v>
      </c>
      <c r="I516" s="2">
        <v>25</v>
      </c>
      <c r="J516" t="str">
        <f>_xlfn.XLOOKUP(Table2[[#This Row],[Customer_ID]],Table1[Customer_ID],Table1[Customer_Name])</f>
        <v>Maybelle Bolt</v>
      </c>
    </row>
    <row r="517" spans="1:10" x14ac:dyDescent="0.35">
      <c r="A517" s="4">
        <v>40807</v>
      </c>
      <c r="B517" s="2">
        <v>10640</v>
      </c>
      <c r="C517" s="2">
        <v>296</v>
      </c>
      <c r="D517" s="2">
        <v>93</v>
      </c>
      <c r="F517" s="2">
        <v>1</v>
      </c>
      <c r="G517" s="2">
        <v>2</v>
      </c>
      <c r="H517" s="2">
        <v>3</v>
      </c>
      <c r="I517" s="2">
        <v>25</v>
      </c>
      <c r="J517" t="str">
        <f>_xlfn.XLOOKUP(Table2[[#This Row],[Customer_ID]],Table1[Customer_ID],Table1[Customer_Name])</f>
        <v>Mervin Chiodo</v>
      </c>
    </row>
    <row r="518" spans="1:10" x14ac:dyDescent="0.35">
      <c r="A518" s="4">
        <v>40807</v>
      </c>
      <c r="B518" s="2">
        <v>10640</v>
      </c>
      <c r="C518" s="2">
        <v>300</v>
      </c>
      <c r="D518" s="2">
        <v>93</v>
      </c>
      <c r="F518" s="2">
        <v>1</v>
      </c>
      <c r="G518" s="2">
        <v>6</v>
      </c>
      <c r="H518" s="2">
        <v>19</v>
      </c>
      <c r="I518" s="2">
        <v>25</v>
      </c>
      <c r="J518" t="str">
        <f>_xlfn.XLOOKUP(Table2[[#This Row],[Customer_ID]],Table1[Customer_ID],Table1[Customer_Name])</f>
        <v>Mervin Chiodo</v>
      </c>
    </row>
    <row r="519" spans="1:10" x14ac:dyDescent="0.35">
      <c r="A519" s="4">
        <v>40808</v>
      </c>
      <c r="B519" s="2">
        <v>10642</v>
      </c>
      <c r="C519" s="2">
        <v>438</v>
      </c>
      <c r="D519" s="2">
        <v>95</v>
      </c>
      <c r="F519" s="2">
        <v>1</v>
      </c>
      <c r="G519" s="2">
        <v>5</v>
      </c>
      <c r="H519" s="2">
        <v>8</v>
      </c>
      <c r="I519" s="2">
        <v>25</v>
      </c>
      <c r="J519" t="str">
        <f>_xlfn.XLOOKUP(Table2[[#This Row],[Customer_ID]],Table1[Customer_ID],Table1[Customer_Name])</f>
        <v>Michelle Madonia</v>
      </c>
    </row>
    <row r="520" spans="1:10" x14ac:dyDescent="0.35">
      <c r="A520" s="4">
        <v>40808</v>
      </c>
      <c r="B520" s="2">
        <v>10642</v>
      </c>
      <c r="C520" s="2">
        <v>402</v>
      </c>
      <c r="D520" s="2">
        <v>95</v>
      </c>
      <c r="F520" s="2">
        <v>1</v>
      </c>
      <c r="G520" s="2">
        <v>5</v>
      </c>
      <c r="H520" s="2">
        <v>13</v>
      </c>
      <c r="I520" s="2">
        <v>25</v>
      </c>
      <c r="J520" t="str">
        <f>_xlfn.XLOOKUP(Table2[[#This Row],[Customer_ID]],Table1[Customer_ID],Table1[Customer_Name])</f>
        <v>Michelle Madonia</v>
      </c>
    </row>
    <row r="521" spans="1:10" x14ac:dyDescent="0.35">
      <c r="A521" s="4">
        <v>40811</v>
      </c>
      <c r="B521" s="2">
        <v>10644</v>
      </c>
      <c r="C521" s="2">
        <v>212</v>
      </c>
      <c r="D521" s="2">
        <v>97</v>
      </c>
      <c r="F521" s="2">
        <v>1</v>
      </c>
      <c r="G521" s="2">
        <v>2</v>
      </c>
      <c r="H521" s="2">
        <v>32</v>
      </c>
      <c r="I521" s="2">
        <v>25</v>
      </c>
      <c r="J521" t="str">
        <f>_xlfn.XLOOKUP(Table2[[#This Row],[Customer_ID]],Table1[Customer_ID],Table1[Customer_Name])</f>
        <v>Mitchell Doughtie</v>
      </c>
    </row>
    <row r="522" spans="1:10" x14ac:dyDescent="0.35">
      <c r="A522" s="4">
        <v>40811</v>
      </c>
      <c r="B522" s="2">
        <v>10644</v>
      </c>
      <c r="C522" s="2">
        <v>329</v>
      </c>
      <c r="D522" s="2">
        <v>97</v>
      </c>
      <c r="F522" s="2">
        <v>1</v>
      </c>
      <c r="G522" s="2">
        <v>4</v>
      </c>
      <c r="H522" s="2">
        <v>21</v>
      </c>
      <c r="I522" s="2">
        <v>25</v>
      </c>
      <c r="J522" t="str">
        <f>_xlfn.XLOOKUP(Table2[[#This Row],[Customer_ID]],Table1[Customer_ID],Table1[Customer_Name])</f>
        <v>Mitchell Doughtie</v>
      </c>
    </row>
    <row r="523" spans="1:10" x14ac:dyDescent="0.35">
      <c r="A523" s="4">
        <v>40811</v>
      </c>
      <c r="B523" s="2">
        <v>10644</v>
      </c>
      <c r="C523" s="2">
        <v>339</v>
      </c>
      <c r="D523" s="2">
        <v>97</v>
      </c>
      <c r="F523" s="2">
        <v>1</v>
      </c>
      <c r="G523" s="2">
        <v>7</v>
      </c>
      <c r="H523" s="2">
        <v>2</v>
      </c>
      <c r="I523" s="2">
        <v>25</v>
      </c>
      <c r="J523" t="str">
        <f>_xlfn.XLOOKUP(Table2[[#This Row],[Customer_ID]],Table1[Customer_ID],Table1[Customer_Name])</f>
        <v>Mitchell Doughtie</v>
      </c>
    </row>
    <row r="524" spans="1:10" x14ac:dyDescent="0.35">
      <c r="A524" s="4">
        <v>40813</v>
      </c>
      <c r="B524" s="2">
        <v>10646</v>
      </c>
      <c r="C524" s="2">
        <v>231</v>
      </c>
      <c r="D524" s="2">
        <v>99</v>
      </c>
      <c r="F524" s="2">
        <v>1</v>
      </c>
      <c r="G524" s="2">
        <v>5</v>
      </c>
      <c r="H524" s="2">
        <v>5</v>
      </c>
      <c r="I524" s="2">
        <v>25</v>
      </c>
      <c r="J524" t="str">
        <f>_xlfn.XLOOKUP(Table2[[#This Row],[Customer_ID]],Table1[Customer_ID],Table1[Customer_Name])</f>
        <v>Nana Nolette</v>
      </c>
    </row>
    <row r="525" spans="1:10" x14ac:dyDescent="0.35">
      <c r="A525" s="4">
        <v>40813</v>
      </c>
      <c r="B525" s="2">
        <v>10646</v>
      </c>
      <c r="C525" s="2">
        <v>261</v>
      </c>
      <c r="D525" s="2">
        <v>99</v>
      </c>
      <c r="F525" s="2">
        <v>1</v>
      </c>
      <c r="G525" s="2">
        <v>3</v>
      </c>
      <c r="H525" s="2">
        <v>5</v>
      </c>
      <c r="I525" s="2">
        <v>25</v>
      </c>
      <c r="J525" t="str">
        <f>_xlfn.XLOOKUP(Table2[[#This Row],[Customer_ID]],Table1[Customer_ID],Table1[Customer_Name])</f>
        <v>Nana Nolette</v>
      </c>
    </row>
    <row r="526" spans="1:10" x14ac:dyDescent="0.35">
      <c r="A526" s="4">
        <v>40813</v>
      </c>
      <c r="B526" s="2">
        <v>10646</v>
      </c>
      <c r="C526" s="2">
        <v>280</v>
      </c>
      <c r="D526" s="2">
        <v>99</v>
      </c>
      <c r="F526" s="2">
        <v>1</v>
      </c>
      <c r="G526" s="2">
        <v>1</v>
      </c>
      <c r="H526" s="2">
        <v>2</v>
      </c>
      <c r="I526" s="2">
        <v>25</v>
      </c>
      <c r="J526" t="str">
        <f>_xlfn.XLOOKUP(Table2[[#This Row],[Customer_ID]],Table1[Customer_ID],Table1[Customer_Name])</f>
        <v>Nana Nolette</v>
      </c>
    </row>
    <row r="527" spans="1:10" x14ac:dyDescent="0.35">
      <c r="A527" s="4">
        <v>40813</v>
      </c>
      <c r="B527" s="2">
        <v>10646</v>
      </c>
      <c r="C527" s="2">
        <v>256</v>
      </c>
      <c r="D527" s="2">
        <v>99</v>
      </c>
      <c r="F527" s="2">
        <v>1</v>
      </c>
      <c r="G527" s="2">
        <v>4</v>
      </c>
      <c r="H527" s="2">
        <v>5</v>
      </c>
      <c r="I527" s="2">
        <v>25</v>
      </c>
      <c r="J527" t="str">
        <f>_xlfn.XLOOKUP(Table2[[#This Row],[Customer_ID]],Table1[Customer_ID],Table1[Customer_Name])</f>
        <v>Nana Nolette</v>
      </c>
    </row>
    <row r="528" spans="1:10" x14ac:dyDescent="0.35">
      <c r="A528" s="4">
        <v>40814</v>
      </c>
      <c r="B528" s="2">
        <v>10648</v>
      </c>
      <c r="C528" s="2">
        <v>225</v>
      </c>
      <c r="D528" s="2">
        <v>1</v>
      </c>
      <c r="E528" s="2">
        <v>93</v>
      </c>
      <c r="F528" s="2">
        <v>1</v>
      </c>
      <c r="G528" s="2">
        <v>5</v>
      </c>
      <c r="H528" s="2">
        <v>3</v>
      </c>
      <c r="I528" s="2">
        <v>25</v>
      </c>
      <c r="J528" t="str">
        <f>_xlfn.XLOOKUP(Table2[[#This Row],[Customer_ID]],Table1[Customer_ID],Table1[Customer_Name])</f>
        <v>Agatha Clauss</v>
      </c>
    </row>
    <row r="529" spans="1:10" x14ac:dyDescent="0.35">
      <c r="A529" s="4">
        <v>40814</v>
      </c>
      <c r="B529" s="2">
        <v>10648</v>
      </c>
      <c r="C529" s="2">
        <v>305</v>
      </c>
      <c r="D529" s="2">
        <v>1</v>
      </c>
      <c r="E529" s="2">
        <v>93</v>
      </c>
      <c r="F529" s="2">
        <v>1</v>
      </c>
      <c r="G529" s="2">
        <v>9</v>
      </c>
      <c r="H529" s="2">
        <v>4</v>
      </c>
      <c r="I529" s="2">
        <v>25</v>
      </c>
      <c r="J529" t="str">
        <f>_xlfn.XLOOKUP(Table2[[#This Row],[Customer_ID]],Table1[Customer_ID],Table1[Customer_Name])</f>
        <v>Agatha Clauss</v>
      </c>
    </row>
    <row r="530" spans="1:10" x14ac:dyDescent="0.35">
      <c r="A530" s="4">
        <v>40815</v>
      </c>
      <c r="B530" s="2">
        <v>10650</v>
      </c>
      <c r="C530" s="2">
        <v>367</v>
      </c>
      <c r="D530" s="2">
        <v>3</v>
      </c>
      <c r="E530" s="2">
        <v>40</v>
      </c>
      <c r="F530" s="2">
        <v>1</v>
      </c>
      <c r="G530" s="2">
        <v>5</v>
      </c>
      <c r="H530" s="2">
        <v>10</v>
      </c>
      <c r="I530" s="2">
        <v>25</v>
      </c>
      <c r="J530" t="str">
        <f>_xlfn.XLOOKUP(Table2[[#This Row],[Customer_ID]],Table1[Customer_ID],Table1[Customer_Name])</f>
        <v>Alonzo Stoltz</v>
      </c>
    </row>
    <row r="531" spans="1:10" x14ac:dyDescent="0.35">
      <c r="A531" s="4">
        <v>40815</v>
      </c>
      <c r="B531" s="2">
        <v>10650</v>
      </c>
      <c r="C531" s="2">
        <v>362</v>
      </c>
      <c r="D531" s="2">
        <v>3</v>
      </c>
      <c r="E531" s="2">
        <v>40</v>
      </c>
      <c r="F531" s="2">
        <v>1</v>
      </c>
      <c r="G531" s="2">
        <v>2</v>
      </c>
      <c r="H531" s="2">
        <v>4</v>
      </c>
      <c r="I531" s="2">
        <v>25</v>
      </c>
      <c r="J531" t="str">
        <f>_xlfn.XLOOKUP(Table2[[#This Row],[Customer_ID]],Table1[Customer_ID],Table1[Customer_Name])</f>
        <v>Alonzo Stoltz</v>
      </c>
    </row>
    <row r="532" spans="1:10" x14ac:dyDescent="0.35">
      <c r="A532" s="4">
        <v>40815</v>
      </c>
      <c r="B532" s="2">
        <v>10650</v>
      </c>
      <c r="C532" s="2">
        <v>363</v>
      </c>
      <c r="D532" s="2">
        <v>3</v>
      </c>
      <c r="E532" s="2">
        <v>40</v>
      </c>
      <c r="F532" s="2">
        <v>1</v>
      </c>
      <c r="G532" s="2">
        <v>7</v>
      </c>
      <c r="H532" s="2">
        <v>2</v>
      </c>
      <c r="I532" s="2">
        <v>25</v>
      </c>
      <c r="J532" t="str">
        <f>_xlfn.XLOOKUP(Table2[[#This Row],[Customer_ID]],Table1[Customer_ID],Table1[Customer_Name])</f>
        <v>Alonzo Stoltz</v>
      </c>
    </row>
    <row r="533" spans="1:10" x14ac:dyDescent="0.35">
      <c r="A533" s="4">
        <v>40818</v>
      </c>
      <c r="B533" s="2">
        <v>10652</v>
      </c>
      <c r="C533" s="2">
        <v>285</v>
      </c>
      <c r="D533" s="2">
        <v>5</v>
      </c>
      <c r="E533" s="2">
        <v>28</v>
      </c>
      <c r="F533" s="2">
        <v>1</v>
      </c>
      <c r="G533" s="2">
        <v>2</v>
      </c>
      <c r="H533" s="2">
        <v>5</v>
      </c>
      <c r="I533" s="2">
        <v>25</v>
      </c>
      <c r="J533" t="str">
        <f>_xlfn.XLOOKUP(Table2[[#This Row],[Customer_ID]],Table1[Customer_ID],Table1[Customer_Name])</f>
        <v>Anette Abdulla</v>
      </c>
    </row>
    <row r="534" spans="1:10" x14ac:dyDescent="0.35">
      <c r="A534" s="4">
        <v>40818</v>
      </c>
      <c r="B534" s="2">
        <v>10652</v>
      </c>
      <c r="C534" s="2">
        <v>227</v>
      </c>
      <c r="D534" s="2">
        <v>5</v>
      </c>
      <c r="E534" s="2">
        <v>28</v>
      </c>
      <c r="F534" s="2">
        <v>1</v>
      </c>
      <c r="G534" s="2">
        <v>4</v>
      </c>
      <c r="H534" s="2">
        <v>4</v>
      </c>
      <c r="I534" s="2">
        <v>25</v>
      </c>
      <c r="J534" t="str">
        <f>_xlfn.XLOOKUP(Table2[[#This Row],[Customer_ID]],Table1[Customer_ID],Table1[Customer_Name])</f>
        <v>Anette Abdulla</v>
      </c>
    </row>
    <row r="535" spans="1:10" x14ac:dyDescent="0.35">
      <c r="A535" s="4">
        <v>40819</v>
      </c>
      <c r="B535" s="2">
        <v>10654</v>
      </c>
      <c r="C535" s="2">
        <v>240</v>
      </c>
      <c r="D535" s="2">
        <v>7</v>
      </c>
      <c r="E535" s="2">
        <v>32</v>
      </c>
      <c r="F535" s="2">
        <v>1</v>
      </c>
      <c r="G535" s="2">
        <v>1</v>
      </c>
      <c r="H535" s="2">
        <v>26</v>
      </c>
      <c r="I535" s="2">
        <v>25</v>
      </c>
      <c r="J535" t="str">
        <f>_xlfn.XLOOKUP(Table2[[#This Row],[Customer_ID]],Table1[Customer_ID],Table1[Customer_Name])</f>
        <v>Ardath Peaslee</v>
      </c>
    </row>
    <row r="536" spans="1:10" x14ac:dyDescent="0.35">
      <c r="A536" s="4">
        <v>40819</v>
      </c>
      <c r="B536" s="2">
        <v>10654</v>
      </c>
      <c r="C536" s="2">
        <v>342</v>
      </c>
      <c r="D536" s="2">
        <v>7</v>
      </c>
      <c r="E536" s="2">
        <v>32</v>
      </c>
      <c r="F536" s="2">
        <v>1</v>
      </c>
      <c r="G536" s="2">
        <v>1</v>
      </c>
      <c r="H536" s="2">
        <v>4</v>
      </c>
      <c r="I536" s="2">
        <v>25</v>
      </c>
      <c r="J536" t="str">
        <f>_xlfn.XLOOKUP(Table2[[#This Row],[Customer_ID]],Table1[Customer_ID],Table1[Customer_Name])</f>
        <v>Ardath Peaslee</v>
      </c>
    </row>
    <row r="537" spans="1:10" x14ac:dyDescent="0.35">
      <c r="A537" s="4">
        <v>40819</v>
      </c>
      <c r="B537" s="2">
        <v>10654</v>
      </c>
      <c r="C537" s="2">
        <v>343</v>
      </c>
      <c r="D537" s="2">
        <v>7</v>
      </c>
      <c r="E537" s="2">
        <v>32</v>
      </c>
      <c r="F537" s="2">
        <v>1</v>
      </c>
      <c r="G537" s="2">
        <v>1</v>
      </c>
      <c r="H537" s="2">
        <v>4</v>
      </c>
      <c r="I537" s="2">
        <v>25</v>
      </c>
      <c r="J537" t="str">
        <f>_xlfn.XLOOKUP(Table2[[#This Row],[Customer_ID]],Table1[Customer_ID],Table1[Customer_Name])</f>
        <v>Ardath Peaslee</v>
      </c>
    </row>
    <row r="538" spans="1:10" x14ac:dyDescent="0.35">
      <c r="A538" s="4">
        <v>40821</v>
      </c>
      <c r="B538" s="2">
        <v>10656</v>
      </c>
      <c r="C538" s="2">
        <v>108</v>
      </c>
      <c r="D538" s="2">
        <v>9</v>
      </c>
      <c r="E538" s="2">
        <v>97</v>
      </c>
      <c r="F538" s="2">
        <v>1</v>
      </c>
      <c r="G538" s="2">
        <v>5</v>
      </c>
      <c r="H538" s="2">
        <v>483</v>
      </c>
      <c r="I538" s="2">
        <v>25</v>
      </c>
      <c r="J538" t="str">
        <f>_xlfn.XLOOKUP(Table2[[#This Row],[Customer_ID]],Table1[Customer_ID],Table1[Customer_Name])</f>
        <v>Bernarda Caughey</v>
      </c>
    </row>
    <row r="539" spans="1:10" x14ac:dyDescent="0.35">
      <c r="A539" s="4">
        <v>40821</v>
      </c>
      <c r="B539" s="2">
        <v>10656</v>
      </c>
      <c r="C539" s="2">
        <v>111</v>
      </c>
      <c r="D539" s="2">
        <v>9</v>
      </c>
      <c r="E539" s="2">
        <v>97</v>
      </c>
      <c r="F539" s="2">
        <v>1</v>
      </c>
      <c r="G539" s="2">
        <v>4</v>
      </c>
      <c r="H539" s="2">
        <v>547</v>
      </c>
      <c r="I539" s="2">
        <v>25</v>
      </c>
      <c r="J539" t="str">
        <f>_xlfn.XLOOKUP(Table2[[#This Row],[Customer_ID]],Table1[Customer_ID],Table1[Customer_Name])</f>
        <v>Bernarda Caughey</v>
      </c>
    </row>
    <row r="540" spans="1:10" x14ac:dyDescent="0.35">
      <c r="A540" s="4">
        <v>40821</v>
      </c>
      <c r="B540" s="2">
        <v>10656</v>
      </c>
      <c r="C540" s="2">
        <v>106</v>
      </c>
      <c r="D540" s="2">
        <v>9</v>
      </c>
      <c r="E540" s="2">
        <v>97</v>
      </c>
      <c r="F540" s="2">
        <v>1</v>
      </c>
      <c r="G540" s="2">
        <v>9</v>
      </c>
      <c r="H540" s="2">
        <v>467</v>
      </c>
      <c r="I540" s="2">
        <v>25</v>
      </c>
      <c r="J540" t="str">
        <f>_xlfn.XLOOKUP(Table2[[#This Row],[Customer_ID]],Table1[Customer_ID],Table1[Customer_Name])</f>
        <v>Bernarda Caughey</v>
      </c>
    </row>
    <row r="541" spans="1:10" x14ac:dyDescent="0.35">
      <c r="A541" s="4">
        <v>40822</v>
      </c>
      <c r="B541" s="2">
        <v>10658</v>
      </c>
      <c r="C541" s="2">
        <v>20</v>
      </c>
      <c r="D541" s="2">
        <v>11</v>
      </c>
      <c r="E541" s="2">
        <v>76</v>
      </c>
      <c r="F541" s="2">
        <v>1</v>
      </c>
      <c r="G541" s="2">
        <v>2</v>
      </c>
      <c r="H541" s="2">
        <v>659</v>
      </c>
      <c r="I541" s="2">
        <v>25</v>
      </c>
      <c r="J541" t="str">
        <f>_xlfn.XLOOKUP(Table2[[#This Row],[Customer_ID]],Table1[Customer_ID],Table1[Customer_Name])</f>
        <v>Bonita Honaker</v>
      </c>
    </row>
    <row r="542" spans="1:10" x14ac:dyDescent="0.35">
      <c r="A542" s="4">
        <v>40822</v>
      </c>
      <c r="B542" s="2">
        <v>10658</v>
      </c>
      <c r="C542" s="2">
        <v>22</v>
      </c>
      <c r="D542" s="2">
        <v>11</v>
      </c>
      <c r="E542" s="2">
        <v>76</v>
      </c>
      <c r="F542" s="2">
        <v>1</v>
      </c>
      <c r="G542" s="2">
        <v>2</v>
      </c>
      <c r="H542" s="2">
        <v>411</v>
      </c>
      <c r="I542" s="2">
        <v>25</v>
      </c>
      <c r="J542" t="str">
        <f>_xlfn.XLOOKUP(Table2[[#This Row],[Customer_ID]],Table1[Customer_ID],Table1[Customer_Name])</f>
        <v>Bonita Honaker</v>
      </c>
    </row>
    <row r="543" spans="1:10" x14ac:dyDescent="0.35">
      <c r="A543" s="4">
        <v>40822</v>
      </c>
      <c r="B543" s="2">
        <v>10658</v>
      </c>
      <c r="C543" s="2">
        <v>26</v>
      </c>
      <c r="D543" s="2">
        <v>11</v>
      </c>
      <c r="E543" s="2">
        <v>76</v>
      </c>
      <c r="F543" s="2">
        <v>1</v>
      </c>
      <c r="G543" s="2">
        <v>6</v>
      </c>
      <c r="H543" s="2">
        <v>252</v>
      </c>
      <c r="I543" s="2">
        <v>25</v>
      </c>
      <c r="J543" t="str">
        <f>_xlfn.XLOOKUP(Table2[[#This Row],[Customer_ID]],Table1[Customer_ID],Table1[Customer_Name])</f>
        <v>Bonita Honaker</v>
      </c>
    </row>
    <row r="544" spans="1:10" x14ac:dyDescent="0.35">
      <c r="A544" s="4">
        <v>40822</v>
      </c>
      <c r="B544" s="2">
        <v>10658</v>
      </c>
      <c r="C544" s="2">
        <v>21</v>
      </c>
      <c r="D544" s="2">
        <v>11</v>
      </c>
      <c r="E544" s="2">
        <v>76</v>
      </c>
      <c r="F544" s="2">
        <v>1</v>
      </c>
      <c r="G544" s="2">
        <v>1</v>
      </c>
      <c r="H544" s="2">
        <v>634</v>
      </c>
      <c r="I544" s="2">
        <v>25</v>
      </c>
      <c r="J544" t="str">
        <f>_xlfn.XLOOKUP(Table2[[#This Row],[Customer_ID]],Table1[Customer_ID],Table1[Customer_Name])</f>
        <v>Bonita Honaker</v>
      </c>
    </row>
    <row r="545" spans="1:10" x14ac:dyDescent="0.35">
      <c r="A545" s="4">
        <v>40825</v>
      </c>
      <c r="B545" s="2">
        <v>10660</v>
      </c>
      <c r="C545" s="2">
        <v>63</v>
      </c>
      <c r="D545" s="2">
        <v>13</v>
      </c>
      <c r="E545" s="2">
        <v>30</v>
      </c>
      <c r="F545" s="2">
        <v>1</v>
      </c>
      <c r="G545" s="2">
        <v>5</v>
      </c>
      <c r="H545" s="2">
        <v>3</v>
      </c>
      <c r="I545" s="2">
        <v>25</v>
      </c>
      <c r="J545" t="str">
        <f>_xlfn.XLOOKUP(Table2[[#This Row],[Customer_ID]],Table1[Customer_ID],Table1[Customer_Name])</f>
        <v>Bryant Ertel</v>
      </c>
    </row>
    <row r="546" spans="1:10" x14ac:dyDescent="0.35">
      <c r="A546" s="4">
        <v>40826</v>
      </c>
      <c r="B546" s="2">
        <v>10662</v>
      </c>
      <c r="C546" s="2">
        <v>229</v>
      </c>
      <c r="D546" s="2">
        <v>15</v>
      </c>
      <c r="E546" s="2">
        <v>11</v>
      </c>
      <c r="F546" s="2">
        <v>1</v>
      </c>
      <c r="G546" s="2">
        <v>7</v>
      </c>
      <c r="H546" s="2">
        <v>4</v>
      </c>
      <c r="I546" s="2">
        <v>25</v>
      </c>
      <c r="J546" t="str">
        <f>_xlfn.XLOOKUP(Table2[[#This Row],[Customer_ID]],Table1[Customer_ID],Table1[Customer_Name])</f>
        <v>Caryn Conry</v>
      </c>
    </row>
    <row r="547" spans="1:10" x14ac:dyDescent="0.35">
      <c r="A547" s="4">
        <v>40827</v>
      </c>
      <c r="B547" s="2">
        <v>10664</v>
      </c>
      <c r="C547" s="2">
        <v>171</v>
      </c>
      <c r="D547" s="2">
        <v>17</v>
      </c>
      <c r="E547" s="2">
        <v>20</v>
      </c>
      <c r="F547" s="2">
        <v>1</v>
      </c>
      <c r="G547" s="2">
        <v>3</v>
      </c>
      <c r="H547" s="2">
        <v>227</v>
      </c>
      <c r="I547" s="2">
        <v>25</v>
      </c>
      <c r="J547" t="str">
        <f>_xlfn.XLOOKUP(Table2[[#This Row],[Customer_ID]],Table1[Customer_ID],Table1[Customer_Name])</f>
        <v>Cecelia Beeler</v>
      </c>
    </row>
    <row r="548" spans="1:10" x14ac:dyDescent="0.35">
      <c r="A548" s="4">
        <v>40827</v>
      </c>
      <c r="B548" s="2">
        <v>10664</v>
      </c>
      <c r="C548" s="2">
        <v>233</v>
      </c>
      <c r="D548" s="2">
        <v>17</v>
      </c>
      <c r="E548" s="2">
        <v>20</v>
      </c>
      <c r="F548" s="2">
        <v>1</v>
      </c>
      <c r="G548" s="2">
        <v>2</v>
      </c>
      <c r="H548" s="2">
        <v>3</v>
      </c>
      <c r="I548" s="2">
        <v>25</v>
      </c>
      <c r="J548" t="str">
        <f>_xlfn.XLOOKUP(Table2[[#This Row],[Customer_ID]],Table1[Customer_ID],Table1[Customer_Name])</f>
        <v>Cecelia Beeler</v>
      </c>
    </row>
    <row r="549" spans="1:10" x14ac:dyDescent="0.35">
      <c r="A549" s="4">
        <v>40827</v>
      </c>
      <c r="B549" s="2">
        <v>10664</v>
      </c>
      <c r="C549" s="2">
        <v>321</v>
      </c>
      <c r="D549" s="2">
        <v>17</v>
      </c>
      <c r="E549" s="2">
        <v>20</v>
      </c>
      <c r="F549" s="2">
        <v>1</v>
      </c>
      <c r="G549" s="2">
        <v>2</v>
      </c>
      <c r="H549" s="2">
        <v>5</v>
      </c>
      <c r="I549" s="2">
        <v>25</v>
      </c>
      <c r="J549" t="str">
        <f>_xlfn.XLOOKUP(Table2[[#This Row],[Customer_ID]],Table1[Customer_ID],Table1[Customer_Name])</f>
        <v>Cecelia Beeler</v>
      </c>
    </row>
    <row r="550" spans="1:10" x14ac:dyDescent="0.35">
      <c r="A550" s="4">
        <v>40829</v>
      </c>
      <c r="B550" s="2">
        <v>10666</v>
      </c>
      <c r="C550" s="2">
        <v>304</v>
      </c>
      <c r="D550" s="2">
        <v>19</v>
      </c>
      <c r="E550" s="2">
        <v>58</v>
      </c>
      <c r="F550" s="2">
        <v>1</v>
      </c>
      <c r="G550" s="2">
        <v>2</v>
      </c>
      <c r="H550" s="2">
        <v>3</v>
      </c>
      <c r="I550" s="2">
        <v>25</v>
      </c>
      <c r="J550" t="str">
        <f>_xlfn.XLOOKUP(Table2[[#This Row],[Customer_ID]],Table1[Customer_ID],Table1[Customer_Name])</f>
        <v>Charlyn Sanroman</v>
      </c>
    </row>
    <row r="551" spans="1:10" x14ac:dyDescent="0.35">
      <c r="A551" s="4">
        <v>40829</v>
      </c>
      <c r="B551" s="2">
        <v>10666</v>
      </c>
      <c r="C551" s="2">
        <v>303</v>
      </c>
      <c r="D551" s="2">
        <v>19</v>
      </c>
      <c r="E551" s="2">
        <v>58</v>
      </c>
      <c r="F551" s="2">
        <v>1</v>
      </c>
      <c r="G551" s="2">
        <v>5</v>
      </c>
      <c r="H551" s="2">
        <v>3</v>
      </c>
      <c r="I551" s="2">
        <v>25</v>
      </c>
      <c r="J551" t="str">
        <f>_xlfn.XLOOKUP(Table2[[#This Row],[Customer_ID]],Table1[Customer_ID],Table1[Customer_Name])</f>
        <v>Charlyn Sanroman</v>
      </c>
    </row>
    <row r="552" spans="1:10" x14ac:dyDescent="0.35">
      <c r="A552" s="4">
        <v>40832</v>
      </c>
      <c r="B552" s="2">
        <v>10668</v>
      </c>
      <c r="C552" s="2">
        <v>334</v>
      </c>
      <c r="D552" s="2">
        <v>21</v>
      </c>
      <c r="E552" s="2">
        <v>61</v>
      </c>
      <c r="F552" s="2">
        <v>1</v>
      </c>
      <c r="G552" s="2">
        <v>5</v>
      </c>
      <c r="H552" s="2">
        <v>4</v>
      </c>
      <c r="I552" s="2">
        <v>25</v>
      </c>
      <c r="J552" t="str">
        <f>_xlfn.XLOOKUP(Table2[[#This Row],[Customer_ID]],Table1[Customer_ID],Table1[Customer_Name])</f>
        <v>Clemencia Gwyn</v>
      </c>
    </row>
    <row r="553" spans="1:10" x14ac:dyDescent="0.35">
      <c r="A553" s="4">
        <v>40832</v>
      </c>
      <c r="B553" s="2">
        <v>10668</v>
      </c>
      <c r="C553" s="2">
        <v>338</v>
      </c>
      <c r="D553" s="2">
        <v>21</v>
      </c>
      <c r="E553" s="2">
        <v>61</v>
      </c>
      <c r="F553" s="2">
        <v>1</v>
      </c>
      <c r="G553" s="2">
        <v>7</v>
      </c>
      <c r="H553" s="2">
        <v>4</v>
      </c>
      <c r="I553" s="2">
        <v>25</v>
      </c>
      <c r="J553" t="str">
        <f>_xlfn.XLOOKUP(Table2[[#This Row],[Customer_ID]],Table1[Customer_ID],Table1[Customer_Name])</f>
        <v>Clemencia Gwyn</v>
      </c>
    </row>
    <row r="554" spans="1:10" x14ac:dyDescent="0.35">
      <c r="A554" s="4">
        <v>40832</v>
      </c>
      <c r="B554" s="2">
        <v>10668</v>
      </c>
      <c r="C554" s="2">
        <v>228</v>
      </c>
      <c r="D554" s="2">
        <v>21</v>
      </c>
      <c r="E554" s="2">
        <v>61</v>
      </c>
      <c r="F554" s="2">
        <v>1</v>
      </c>
      <c r="G554" s="2">
        <v>3</v>
      </c>
      <c r="H554" s="2">
        <v>3</v>
      </c>
      <c r="I554" s="2">
        <v>25</v>
      </c>
      <c r="J554" t="str">
        <f>_xlfn.XLOOKUP(Table2[[#This Row],[Customer_ID]],Table1[Customer_ID],Table1[Customer_Name])</f>
        <v>Clemencia Gwyn</v>
      </c>
    </row>
    <row r="555" spans="1:10" x14ac:dyDescent="0.35">
      <c r="A555" s="4">
        <v>40833</v>
      </c>
      <c r="B555" s="2">
        <v>10670</v>
      </c>
      <c r="C555" s="2">
        <v>269</v>
      </c>
      <c r="D555" s="2">
        <v>23</v>
      </c>
      <c r="E555" s="2">
        <v>80</v>
      </c>
      <c r="F555" s="2">
        <v>1</v>
      </c>
      <c r="G555" s="2">
        <v>3</v>
      </c>
      <c r="H555" s="2">
        <v>3</v>
      </c>
      <c r="I555" s="2">
        <v>25</v>
      </c>
      <c r="J555" t="str">
        <f>_xlfn.XLOOKUP(Table2[[#This Row],[Customer_ID]],Table1[Customer_ID],Table1[Customer_Name])</f>
        <v>Collette Romain</v>
      </c>
    </row>
    <row r="556" spans="1:10" x14ac:dyDescent="0.35">
      <c r="A556" s="4">
        <v>40833</v>
      </c>
      <c r="B556" s="2">
        <v>10670</v>
      </c>
      <c r="C556" s="2">
        <v>337</v>
      </c>
      <c r="D556" s="2">
        <v>23</v>
      </c>
      <c r="E556" s="2">
        <v>80</v>
      </c>
      <c r="F556" s="2">
        <v>1</v>
      </c>
      <c r="G556" s="2">
        <v>3</v>
      </c>
      <c r="H556" s="2">
        <v>4</v>
      </c>
      <c r="I556" s="2">
        <v>25</v>
      </c>
      <c r="J556" t="str">
        <f>_xlfn.XLOOKUP(Table2[[#This Row],[Customer_ID]],Table1[Customer_ID],Table1[Customer_Name])</f>
        <v>Collette Romain</v>
      </c>
    </row>
    <row r="557" spans="1:10" x14ac:dyDescent="0.35">
      <c r="A557" s="4">
        <v>40833</v>
      </c>
      <c r="B557" s="2">
        <v>10670</v>
      </c>
      <c r="C557" s="2">
        <v>262</v>
      </c>
      <c r="D557" s="2">
        <v>23</v>
      </c>
      <c r="E557" s="2">
        <v>80</v>
      </c>
      <c r="F557" s="2">
        <v>1</v>
      </c>
      <c r="G557" s="2">
        <v>5</v>
      </c>
      <c r="H557" s="2">
        <v>3</v>
      </c>
      <c r="I557" s="2">
        <v>25</v>
      </c>
      <c r="J557" t="str">
        <f>_xlfn.XLOOKUP(Table2[[#This Row],[Customer_ID]],Table1[Customer_ID],Table1[Customer_Name])</f>
        <v>Collette Romain</v>
      </c>
    </row>
    <row r="558" spans="1:10" x14ac:dyDescent="0.35">
      <c r="A558" s="4">
        <v>40833</v>
      </c>
      <c r="B558" s="2">
        <v>10670</v>
      </c>
      <c r="C558" s="2">
        <v>318</v>
      </c>
      <c r="D558" s="2">
        <v>23</v>
      </c>
      <c r="E558" s="2">
        <v>80</v>
      </c>
      <c r="F558" s="2">
        <v>1</v>
      </c>
      <c r="G558" s="2">
        <v>1</v>
      </c>
      <c r="H558" s="2">
        <v>3</v>
      </c>
      <c r="I558" s="2">
        <v>25</v>
      </c>
      <c r="J558" t="str">
        <f>_xlfn.XLOOKUP(Table2[[#This Row],[Customer_ID]],Table1[Customer_ID],Table1[Customer_Name])</f>
        <v>Collette Romain</v>
      </c>
    </row>
    <row r="559" spans="1:10" x14ac:dyDescent="0.35">
      <c r="A559" s="4">
        <v>40833</v>
      </c>
      <c r="B559" s="2">
        <v>10670</v>
      </c>
      <c r="C559" s="2">
        <v>257</v>
      </c>
      <c r="D559" s="2">
        <v>23</v>
      </c>
      <c r="E559" s="2">
        <v>80</v>
      </c>
      <c r="F559" s="2">
        <v>1</v>
      </c>
      <c r="G559" s="2">
        <v>4</v>
      </c>
      <c r="H559" s="2">
        <v>2</v>
      </c>
      <c r="I559" s="2">
        <v>25</v>
      </c>
      <c r="J559" t="str">
        <f>_xlfn.XLOOKUP(Table2[[#This Row],[Customer_ID]],Table1[Customer_ID],Table1[Customer_Name])</f>
        <v>Collette Romain</v>
      </c>
    </row>
    <row r="560" spans="1:10" x14ac:dyDescent="0.35">
      <c r="A560" s="4">
        <v>40834</v>
      </c>
      <c r="B560" s="2">
        <v>10672</v>
      </c>
      <c r="C560" s="2">
        <v>130</v>
      </c>
      <c r="D560" s="2">
        <v>25</v>
      </c>
      <c r="E560" s="2">
        <v>70</v>
      </c>
      <c r="F560" s="2">
        <v>1</v>
      </c>
      <c r="G560" s="2">
        <v>1</v>
      </c>
      <c r="H560" s="2">
        <v>1181</v>
      </c>
      <c r="I560" s="2">
        <v>25</v>
      </c>
      <c r="J560" t="str">
        <f>_xlfn.XLOOKUP(Table2[[#This Row],[Customer_ID]],Table1[Customer_ID],Table1[Customer_Name])</f>
        <v>Cristy Claire</v>
      </c>
    </row>
    <row r="561" spans="1:10" x14ac:dyDescent="0.35">
      <c r="A561" s="4">
        <v>40834</v>
      </c>
      <c r="B561" s="2">
        <v>10672</v>
      </c>
      <c r="C561" s="2">
        <v>129</v>
      </c>
      <c r="D561" s="2">
        <v>25</v>
      </c>
      <c r="E561" s="2">
        <v>70</v>
      </c>
      <c r="F561" s="2">
        <v>1</v>
      </c>
      <c r="G561" s="2">
        <v>1</v>
      </c>
      <c r="H561" s="2">
        <v>577</v>
      </c>
      <c r="I561" s="2">
        <v>25</v>
      </c>
      <c r="J561" t="str">
        <f>_xlfn.XLOOKUP(Table2[[#This Row],[Customer_ID]],Table1[Customer_ID],Table1[Customer_Name])</f>
        <v>Cristy Claire</v>
      </c>
    </row>
    <row r="562" spans="1:10" x14ac:dyDescent="0.35">
      <c r="A562" s="4">
        <v>40835</v>
      </c>
      <c r="B562" s="2">
        <v>10674</v>
      </c>
      <c r="C562" s="2">
        <v>197</v>
      </c>
      <c r="D562" s="2">
        <v>27</v>
      </c>
      <c r="E562" s="2">
        <v>55</v>
      </c>
      <c r="F562" s="2">
        <v>1</v>
      </c>
      <c r="G562" s="2">
        <v>1</v>
      </c>
      <c r="H562" s="2">
        <v>3</v>
      </c>
      <c r="I562" s="2">
        <v>25</v>
      </c>
      <c r="J562" t="str">
        <f>_xlfn.XLOOKUP(Table2[[#This Row],[Customer_ID]],Table1[Customer_ID],Table1[Customer_Name])</f>
        <v>Daniel Emmerich</v>
      </c>
    </row>
    <row r="563" spans="1:10" x14ac:dyDescent="0.35">
      <c r="A563" s="4">
        <v>40839</v>
      </c>
      <c r="B563" s="2">
        <v>10676</v>
      </c>
      <c r="C563" s="2">
        <v>284</v>
      </c>
      <c r="D563" s="2">
        <v>29</v>
      </c>
      <c r="E563" s="2">
        <v>81</v>
      </c>
      <c r="F563" s="2">
        <v>1</v>
      </c>
      <c r="G563" s="2">
        <v>2</v>
      </c>
      <c r="H563" s="2">
        <v>9</v>
      </c>
      <c r="I563" s="2">
        <v>25</v>
      </c>
      <c r="J563" t="str">
        <f>_xlfn.XLOOKUP(Table2[[#This Row],[Customer_ID]],Table1[Customer_ID],Table1[Customer_Name])</f>
        <v>Deneen Client</v>
      </c>
    </row>
    <row r="564" spans="1:10" x14ac:dyDescent="0.35">
      <c r="A564" s="4">
        <v>40839</v>
      </c>
      <c r="B564" s="2">
        <v>10676</v>
      </c>
      <c r="C564" s="2">
        <v>373</v>
      </c>
      <c r="D564" s="2">
        <v>29</v>
      </c>
      <c r="E564" s="2">
        <v>81</v>
      </c>
      <c r="F564" s="2">
        <v>1</v>
      </c>
      <c r="G564" s="2">
        <v>1</v>
      </c>
      <c r="H564" s="2">
        <v>6</v>
      </c>
      <c r="I564" s="2">
        <v>25</v>
      </c>
      <c r="J564" t="str">
        <f>_xlfn.XLOOKUP(Table2[[#This Row],[Customer_ID]],Table1[Customer_ID],Table1[Customer_Name])</f>
        <v>Deneen Client</v>
      </c>
    </row>
    <row r="565" spans="1:10" x14ac:dyDescent="0.35">
      <c r="A565" s="4">
        <v>40839</v>
      </c>
      <c r="B565" s="2">
        <v>10676</v>
      </c>
      <c r="C565" s="2">
        <v>230</v>
      </c>
      <c r="D565" s="2">
        <v>29</v>
      </c>
      <c r="E565" s="2">
        <v>81</v>
      </c>
      <c r="F565" s="2">
        <v>1</v>
      </c>
      <c r="G565" s="2">
        <v>7</v>
      </c>
      <c r="H565" s="2">
        <v>6</v>
      </c>
      <c r="I565" s="2">
        <v>25</v>
      </c>
      <c r="J565" t="str">
        <f>_xlfn.XLOOKUP(Table2[[#This Row],[Customer_ID]],Table1[Customer_ID],Table1[Customer_Name])</f>
        <v>Deneen Client</v>
      </c>
    </row>
    <row r="566" spans="1:10" x14ac:dyDescent="0.35">
      <c r="A566" s="4">
        <v>40840</v>
      </c>
      <c r="B566" s="2">
        <v>10678</v>
      </c>
      <c r="C566" s="2">
        <v>375</v>
      </c>
      <c r="D566" s="2">
        <v>31</v>
      </c>
      <c r="E566" s="2">
        <v>55</v>
      </c>
      <c r="F566" s="2">
        <v>1</v>
      </c>
      <c r="G566" s="2">
        <v>4</v>
      </c>
      <c r="H566" s="2">
        <v>5</v>
      </c>
      <c r="I566" s="2">
        <v>25</v>
      </c>
      <c r="J566" t="str">
        <f>_xlfn.XLOOKUP(Table2[[#This Row],[Customer_ID]],Table1[Customer_ID],Table1[Customer_Name])</f>
        <v>Dona Kinkade</v>
      </c>
    </row>
    <row r="567" spans="1:10" x14ac:dyDescent="0.35">
      <c r="A567" s="4">
        <v>40840</v>
      </c>
      <c r="B567" s="2">
        <v>10678</v>
      </c>
      <c r="C567" s="2">
        <v>378</v>
      </c>
      <c r="D567" s="2">
        <v>31</v>
      </c>
      <c r="E567" s="2">
        <v>56</v>
      </c>
      <c r="F567" s="2">
        <v>1</v>
      </c>
      <c r="G567" s="2">
        <v>1</v>
      </c>
      <c r="H567" s="2">
        <v>3</v>
      </c>
      <c r="I567" s="2">
        <v>25</v>
      </c>
      <c r="J567" t="str">
        <f>_xlfn.XLOOKUP(Table2[[#This Row],[Customer_ID]],Table1[Customer_ID],Table1[Customer_Name])</f>
        <v>Dona Kinkade</v>
      </c>
    </row>
    <row r="568" spans="1:10" x14ac:dyDescent="0.35">
      <c r="A568" s="4">
        <v>40840</v>
      </c>
      <c r="B568" s="2">
        <v>10678</v>
      </c>
      <c r="C568" s="2">
        <v>379</v>
      </c>
      <c r="D568" s="2">
        <v>31</v>
      </c>
      <c r="E568" s="2">
        <v>55</v>
      </c>
      <c r="F568" s="2">
        <v>1</v>
      </c>
      <c r="G568" s="2">
        <v>1</v>
      </c>
      <c r="H568" s="2">
        <v>4</v>
      </c>
      <c r="I568" s="2">
        <v>25</v>
      </c>
      <c r="J568" t="str">
        <f>_xlfn.XLOOKUP(Table2[[#This Row],[Customer_ID]],Table1[Customer_ID],Table1[Customer_Name])</f>
        <v>Dona Kinkade</v>
      </c>
    </row>
    <row r="569" spans="1:10" x14ac:dyDescent="0.35">
      <c r="A569" s="4">
        <v>40840</v>
      </c>
      <c r="B569" s="2">
        <v>10678</v>
      </c>
      <c r="C569" s="2">
        <v>381</v>
      </c>
      <c r="D569" s="2">
        <v>31</v>
      </c>
      <c r="E569" s="2">
        <v>55</v>
      </c>
      <c r="F569" s="2">
        <v>1</v>
      </c>
      <c r="G569" s="2">
        <v>3</v>
      </c>
      <c r="H569" s="2">
        <v>10</v>
      </c>
      <c r="I569" s="2">
        <v>25</v>
      </c>
      <c r="J569" t="str">
        <f>_xlfn.XLOOKUP(Table2[[#This Row],[Customer_ID]],Table1[Customer_ID],Table1[Customer_Name])</f>
        <v>Dona Kinkade</v>
      </c>
    </row>
    <row r="570" spans="1:10" x14ac:dyDescent="0.35">
      <c r="A570" s="4">
        <v>40841</v>
      </c>
      <c r="B570" s="2">
        <v>10680</v>
      </c>
      <c r="C570" s="2">
        <v>374</v>
      </c>
      <c r="D570" s="2">
        <v>33</v>
      </c>
      <c r="E570" s="2">
        <v>29</v>
      </c>
      <c r="F570" s="2">
        <v>1</v>
      </c>
      <c r="G570" s="2">
        <v>15</v>
      </c>
      <c r="H570" s="2">
        <v>9</v>
      </c>
      <c r="I570" s="2">
        <v>25</v>
      </c>
      <c r="J570" t="str">
        <f>_xlfn.XLOOKUP(Table2[[#This Row],[Customer_ID]],Table1[Customer_ID],Table1[Customer_Name])</f>
        <v>Douglas Swinson</v>
      </c>
    </row>
    <row r="571" spans="1:10" x14ac:dyDescent="0.35">
      <c r="A571" s="4">
        <v>40841</v>
      </c>
      <c r="B571" s="2">
        <v>10680</v>
      </c>
      <c r="C571" s="2">
        <v>380</v>
      </c>
      <c r="D571" s="2">
        <v>33</v>
      </c>
      <c r="E571" s="2">
        <v>29</v>
      </c>
      <c r="F571" s="2">
        <v>1</v>
      </c>
      <c r="G571" s="2">
        <v>7</v>
      </c>
      <c r="H571" s="2">
        <v>9</v>
      </c>
      <c r="I571" s="2">
        <v>25</v>
      </c>
      <c r="J571" t="str">
        <f>_xlfn.XLOOKUP(Table2[[#This Row],[Customer_ID]],Table1[Customer_ID],Table1[Customer_Name])</f>
        <v>Douglas Swinson</v>
      </c>
    </row>
    <row r="572" spans="1:10" x14ac:dyDescent="0.35">
      <c r="A572" s="4">
        <v>40841</v>
      </c>
      <c r="B572" s="2">
        <v>10680</v>
      </c>
      <c r="C572" s="2">
        <v>376</v>
      </c>
      <c r="D572" s="2">
        <v>33</v>
      </c>
      <c r="E572" s="2">
        <v>29</v>
      </c>
      <c r="F572" s="2">
        <v>1</v>
      </c>
      <c r="G572" s="2">
        <v>4</v>
      </c>
      <c r="H572" s="2">
        <v>4</v>
      </c>
      <c r="I572" s="2">
        <v>25</v>
      </c>
      <c r="J572" t="str">
        <f>_xlfn.XLOOKUP(Table2[[#This Row],[Customer_ID]],Table1[Customer_ID],Table1[Customer_Name])</f>
        <v>Douglas Swinson</v>
      </c>
    </row>
    <row r="573" spans="1:10" x14ac:dyDescent="0.35">
      <c r="A573" s="4">
        <v>40842</v>
      </c>
      <c r="B573" s="2">
        <v>10682</v>
      </c>
      <c r="C573" s="2">
        <v>268</v>
      </c>
      <c r="D573" s="2">
        <v>35</v>
      </c>
      <c r="E573" s="2">
        <v>5</v>
      </c>
      <c r="F573" s="2">
        <v>1</v>
      </c>
      <c r="G573" s="2">
        <v>3</v>
      </c>
      <c r="H573" s="2">
        <v>3</v>
      </c>
      <c r="I573" s="2">
        <v>25</v>
      </c>
      <c r="J573" t="str">
        <f>_xlfn.XLOOKUP(Table2[[#This Row],[Customer_ID]],Table1[Customer_ID],Table1[Customer_Name])</f>
        <v>Dung Do</v>
      </c>
    </row>
    <row r="574" spans="1:10" x14ac:dyDescent="0.35">
      <c r="A574" s="4">
        <v>40842</v>
      </c>
      <c r="B574" s="2">
        <v>10682</v>
      </c>
      <c r="C574" s="2">
        <v>267</v>
      </c>
      <c r="D574" s="2">
        <v>35</v>
      </c>
      <c r="E574" s="2">
        <v>5</v>
      </c>
      <c r="F574" s="2">
        <v>1</v>
      </c>
      <c r="G574" s="2">
        <v>8</v>
      </c>
      <c r="H574" s="2">
        <v>3</v>
      </c>
      <c r="I574" s="2">
        <v>25</v>
      </c>
      <c r="J574" t="str">
        <f>_xlfn.XLOOKUP(Table2[[#This Row],[Customer_ID]],Table1[Customer_ID],Table1[Customer_Name])</f>
        <v>Dung Do</v>
      </c>
    </row>
    <row r="575" spans="1:10" x14ac:dyDescent="0.35">
      <c r="A575" s="4">
        <v>40842</v>
      </c>
      <c r="B575" s="2">
        <v>10682</v>
      </c>
      <c r="C575" s="2">
        <v>273</v>
      </c>
      <c r="D575" s="2">
        <v>35</v>
      </c>
      <c r="E575" s="2">
        <v>5</v>
      </c>
      <c r="F575" s="2">
        <v>1</v>
      </c>
      <c r="G575" s="2">
        <v>4</v>
      </c>
      <c r="H575" s="2">
        <v>3</v>
      </c>
      <c r="I575" s="2">
        <v>25</v>
      </c>
      <c r="J575" t="str">
        <f>_xlfn.XLOOKUP(Table2[[#This Row],[Customer_ID]],Table1[Customer_ID],Table1[Customer_Name])</f>
        <v>Dung Do</v>
      </c>
    </row>
    <row r="576" spans="1:10" x14ac:dyDescent="0.35">
      <c r="A576" s="4">
        <v>40843</v>
      </c>
      <c r="B576" s="2">
        <v>10684</v>
      </c>
      <c r="C576" s="2">
        <v>193</v>
      </c>
      <c r="D576" s="2">
        <v>37</v>
      </c>
      <c r="E576" s="2">
        <v>89</v>
      </c>
      <c r="F576" s="2">
        <v>1</v>
      </c>
      <c r="G576" s="2">
        <v>7</v>
      </c>
      <c r="H576" s="2">
        <v>5</v>
      </c>
      <c r="I576" s="2">
        <v>25</v>
      </c>
      <c r="J576" t="str">
        <f>_xlfn.XLOOKUP(Table2[[#This Row],[Customer_ID]],Table1[Customer_ID],Table1[Customer_Name])</f>
        <v>Edda Mcquillen</v>
      </c>
    </row>
    <row r="577" spans="1:10" x14ac:dyDescent="0.35">
      <c r="A577" s="4">
        <v>40843</v>
      </c>
      <c r="B577" s="2">
        <v>10684</v>
      </c>
      <c r="C577" s="2">
        <v>270</v>
      </c>
      <c r="D577" s="2">
        <v>37</v>
      </c>
      <c r="E577" s="2">
        <v>88</v>
      </c>
      <c r="F577" s="2">
        <v>1</v>
      </c>
      <c r="G577" s="2">
        <v>1</v>
      </c>
      <c r="H577" s="2">
        <v>3</v>
      </c>
      <c r="I577" s="2">
        <v>25</v>
      </c>
      <c r="J577" t="str">
        <f>_xlfn.XLOOKUP(Table2[[#This Row],[Customer_ID]],Table1[Customer_ID],Table1[Customer_Name])</f>
        <v>Edda Mcquillen</v>
      </c>
    </row>
    <row r="578" spans="1:10" x14ac:dyDescent="0.35">
      <c r="A578" s="4">
        <v>40843</v>
      </c>
      <c r="B578" s="2">
        <v>10684</v>
      </c>
      <c r="C578" s="2">
        <v>424</v>
      </c>
      <c r="D578" s="2">
        <v>37</v>
      </c>
      <c r="E578" s="2">
        <v>89</v>
      </c>
      <c r="F578" s="2">
        <v>1</v>
      </c>
      <c r="G578" s="2">
        <v>2</v>
      </c>
      <c r="H578" s="2">
        <v>12</v>
      </c>
      <c r="I578" s="2">
        <v>25</v>
      </c>
      <c r="J578" t="str">
        <f>_xlfn.XLOOKUP(Table2[[#This Row],[Customer_ID]],Table1[Customer_ID],Table1[Customer_Name])</f>
        <v>Edda Mcquillen</v>
      </c>
    </row>
    <row r="579" spans="1:10" x14ac:dyDescent="0.35">
      <c r="A579" s="4">
        <v>40847</v>
      </c>
      <c r="B579" s="2">
        <v>10686</v>
      </c>
      <c r="C579" s="2">
        <v>235</v>
      </c>
      <c r="D579" s="2">
        <v>39</v>
      </c>
      <c r="E579" s="2">
        <v>58</v>
      </c>
      <c r="F579" s="2">
        <v>1</v>
      </c>
      <c r="G579" s="2">
        <v>8</v>
      </c>
      <c r="H579" s="2">
        <v>27</v>
      </c>
      <c r="I579" s="2">
        <v>25</v>
      </c>
      <c r="J579" t="str">
        <f>_xlfn.XLOOKUP(Table2[[#This Row],[Customer_ID]],Table1[Customer_ID],Table1[Customer_Name])</f>
        <v>Edythe Manney</v>
      </c>
    </row>
    <row r="580" spans="1:10" x14ac:dyDescent="0.35">
      <c r="A580" s="4">
        <v>40847</v>
      </c>
      <c r="B580" s="2">
        <v>10686</v>
      </c>
      <c r="C580" s="2">
        <v>213</v>
      </c>
      <c r="D580" s="2">
        <v>39</v>
      </c>
      <c r="E580" s="2">
        <v>58</v>
      </c>
      <c r="F580" s="2">
        <v>1</v>
      </c>
      <c r="G580" s="2">
        <v>5</v>
      </c>
      <c r="H580" s="2">
        <v>2</v>
      </c>
      <c r="I580" s="2">
        <v>25</v>
      </c>
      <c r="J580" t="str">
        <f>_xlfn.XLOOKUP(Table2[[#This Row],[Customer_ID]],Table1[Customer_ID],Table1[Customer_Name])</f>
        <v>Edythe Manney</v>
      </c>
    </row>
    <row r="581" spans="1:10" x14ac:dyDescent="0.35">
      <c r="A581" s="4">
        <v>40848</v>
      </c>
      <c r="B581" s="2">
        <v>10688</v>
      </c>
      <c r="C581" s="2">
        <v>272</v>
      </c>
      <c r="D581" s="2">
        <v>41</v>
      </c>
      <c r="E581" s="2">
        <v>50</v>
      </c>
      <c r="F581" s="2">
        <v>1</v>
      </c>
      <c r="G581" s="2">
        <v>8</v>
      </c>
      <c r="H581" s="2">
        <v>2</v>
      </c>
      <c r="I581" s="2">
        <v>25</v>
      </c>
      <c r="J581" t="str">
        <f>_xlfn.XLOOKUP(Table2[[#This Row],[Customer_ID]],Table1[Customer_ID],Table1[Customer_Name])</f>
        <v>Elicia Rea</v>
      </c>
    </row>
    <row r="582" spans="1:10" x14ac:dyDescent="0.35">
      <c r="A582" s="4">
        <v>40848</v>
      </c>
      <c r="B582" s="2">
        <v>10688</v>
      </c>
      <c r="C582" s="2">
        <v>406</v>
      </c>
      <c r="D582" s="2">
        <v>41</v>
      </c>
      <c r="E582" s="2">
        <v>50</v>
      </c>
      <c r="F582" s="2">
        <v>1</v>
      </c>
      <c r="G582" s="2">
        <v>3</v>
      </c>
      <c r="H582" s="2">
        <v>20</v>
      </c>
      <c r="I582" s="2">
        <v>25</v>
      </c>
      <c r="J582" t="str">
        <f>_xlfn.XLOOKUP(Table2[[#This Row],[Customer_ID]],Table1[Customer_ID],Table1[Customer_Name])</f>
        <v>Elicia Rea</v>
      </c>
    </row>
    <row r="583" spans="1:10" x14ac:dyDescent="0.35">
      <c r="A583" s="4">
        <v>40848</v>
      </c>
      <c r="B583" s="2">
        <v>10688</v>
      </c>
      <c r="C583" s="2">
        <v>220</v>
      </c>
      <c r="D583" s="2">
        <v>41</v>
      </c>
      <c r="E583" s="2">
        <v>50</v>
      </c>
      <c r="F583" s="2">
        <v>1</v>
      </c>
      <c r="G583" s="2">
        <v>4</v>
      </c>
      <c r="H583" s="2">
        <v>5</v>
      </c>
      <c r="I583" s="2">
        <v>25</v>
      </c>
      <c r="J583" t="str">
        <f>_xlfn.XLOOKUP(Table2[[#This Row],[Customer_ID]],Table1[Customer_ID],Table1[Customer_Name])</f>
        <v>Elicia Rea</v>
      </c>
    </row>
    <row r="584" spans="1:10" x14ac:dyDescent="0.35">
      <c r="A584" s="4">
        <v>40849</v>
      </c>
      <c r="B584" s="2">
        <v>10690</v>
      </c>
      <c r="C584" s="2">
        <v>246</v>
      </c>
      <c r="D584" s="2">
        <v>43</v>
      </c>
      <c r="E584" s="2">
        <v>17</v>
      </c>
      <c r="F584" s="2">
        <v>1</v>
      </c>
      <c r="G584" s="2">
        <v>1</v>
      </c>
      <c r="H584" s="2">
        <v>3</v>
      </c>
      <c r="I584" s="2">
        <v>25</v>
      </c>
      <c r="J584" t="str">
        <f>_xlfn.XLOOKUP(Table2[[#This Row],[Customer_ID]],Table1[Customer_ID],Table1[Customer_Name])</f>
        <v>Eric Eshelman</v>
      </c>
    </row>
    <row r="585" spans="1:10" x14ac:dyDescent="0.35">
      <c r="A585" s="4">
        <v>40849</v>
      </c>
      <c r="B585" s="2">
        <v>10690</v>
      </c>
      <c r="C585" s="2">
        <v>237</v>
      </c>
      <c r="D585" s="2">
        <v>43</v>
      </c>
      <c r="E585" s="2">
        <v>17</v>
      </c>
      <c r="F585" s="2">
        <v>1</v>
      </c>
      <c r="G585" s="2">
        <v>9</v>
      </c>
      <c r="H585" s="2">
        <v>18</v>
      </c>
      <c r="I585" s="2">
        <v>25</v>
      </c>
      <c r="J585" t="str">
        <f>_xlfn.XLOOKUP(Table2[[#This Row],[Customer_ID]],Table1[Customer_ID],Table1[Customer_Name])</f>
        <v>Eric Eshelman</v>
      </c>
    </row>
    <row r="586" spans="1:10" x14ac:dyDescent="0.35">
      <c r="A586" s="4">
        <v>40850</v>
      </c>
      <c r="B586" s="2">
        <v>10692</v>
      </c>
      <c r="C586" s="2">
        <v>295</v>
      </c>
      <c r="D586" s="2">
        <v>45</v>
      </c>
      <c r="E586" s="2">
        <v>44</v>
      </c>
      <c r="F586" s="2">
        <v>1</v>
      </c>
      <c r="G586" s="2">
        <v>2</v>
      </c>
      <c r="H586" s="2">
        <v>3</v>
      </c>
      <c r="I586" s="2">
        <v>25</v>
      </c>
      <c r="J586" t="str">
        <f>_xlfn.XLOOKUP(Table2[[#This Row],[Customer_ID]],Table1[Customer_ID],Table1[Customer_Name])</f>
        <v>Everette Ellery</v>
      </c>
    </row>
    <row r="587" spans="1:10" x14ac:dyDescent="0.35">
      <c r="A587" s="4">
        <v>40853</v>
      </c>
      <c r="B587" s="2">
        <v>10694</v>
      </c>
      <c r="C587" s="2">
        <v>152</v>
      </c>
      <c r="D587" s="2">
        <v>47</v>
      </c>
      <c r="E587" s="2">
        <v>1</v>
      </c>
      <c r="F587" s="2">
        <v>1</v>
      </c>
      <c r="G587" s="2">
        <v>2</v>
      </c>
      <c r="H587" s="2">
        <v>517</v>
      </c>
      <c r="I587" s="2">
        <v>25</v>
      </c>
      <c r="J587" t="str">
        <f>_xlfn.XLOOKUP(Table2[[#This Row],[Customer_ID]],Table1[Customer_ID],Table1[Customer_Name])</f>
        <v>Fe Finchum</v>
      </c>
    </row>
    <row r="588" spans="1:10" x14ac:dyDescent="0.35">
      <c r="A588" s="4">
        <v>40853</v>
      </c>
      <c r="B588" s="2">
        <v>10694</v>
      </c>
      <c r="C588" s="2">
        <v>148</v>
      </c>
      <c r="D588" s="2">
        <v>47</v>
      </c>
      <c r="E588" s="2">
        <v>1</v>
      </c>
      <c r="F588" s="2">
        <v>1</v>
      </c>
      <c r="G588" s="2">
        <v>1</v>
      </c>
      <c r="H588" s="2">
        <v>444</v>
      </c>
      <c r="I588" s="2">
        <v>25</v>
      </c>
      <c r="J588" t="str">
        <f>_xlfn.XLOOKUP(Table2[[#This Row],[Customer_ID]],Table1[Customer_ID],Table1[Customer_Name])</f>
        <v>Fe Finchum</v>
      </c>
    </row>
    <row r="589" spans="1:10" x14ac:dyDescent="0.35">
      <c r="A589" s="4">
        <v>40853</v>
      </c>
      <c r="B589" s="2">
        <v>10694</v>
      </c>
      <c r="C589" s="2">
        <v>161</v>
      </c>
      <c r="D589" s="2">
        <v>47</v>
      </c>
      <c r="E589" s="2">
        <v>1</v>
      </c>
      <c r="F589" s="2">
        <v>1</v>
      </c>
      <c r="G589" s="2">
        <v>9</v>
      </c>
      <c r="H589" s="2">
        <v>5759</v>
      </c>
      <c r="I589" s="2">
        <v>25</v>
      </c>
      <c r="J589" t="str">
        <f>_xlfn.XLOOKUP(Table2[[#This Row],[Customer_ID]],Table1[Customer_ID],Table1[Customer_Name])</f>
        <v>Fe Finchum</v>
      </c>
    </row>
    <row r="590" spans="1:10" x14ac:dyDescent="0.35">
      <c r="A590" s="4">
        <v>40855</v>
      </c>
      <c r="B590" s="2">
        <v>10696</v>
      </c>
      <c r="C590" s="2">
        <v>158</v>
      </c>
      <c r="D590" s="2">
        <v>49</v>
      </c>
      <c r="E590" s="2">
        <v>51</v>
      </c>
      <c r="F590" s="2">
        <v>1</v>
      </c>
      <c r="G590" s="2">
        <v>9</v>
      </c>
      <c r="H590" s="2">
        <v>2595</v>
      </c>
      <c r="I590" s="2">
        <v>25</v>
      </c>
      <c r="J590" t="str">
        <f>_xlfn.XLOOKUP(Table2[[#This Row],[Customer_ID]],Table1[Customer_ID],Table1[Customer_Name])</f>
        <v>Geraldo Stickney</v>
      </c>
    </row>
    <row r="591" spans="1:10" x14ac:dyDescent="0.35">
      <c r="A591" s="4">
        <v>40855</v>
      </c>
      <c r="B591" s="2">
        <v>10696</v>
      </c>
      <c r="C591" s="2">
        <v>154</v>
      </c>
      <c r="D591" s="2">
        <v>49</v>
      </c>
      <c r="E591" s="2">
        <v>51</v>
      </c>
      <c r="F591" s="2">
        <v>1</v>
      </c>
      <c r="G591" s="2">
        <v>15</v>
      </c>
      <c r="H591" s="2">
        <v>1079</v>
      </c>
      <c r="I591" s="2">
        <v>25</v>
      </c>
      <c r="J591" t="str">
        <f>_xlfn.XLOOKUP(Table2[[#This Row],[Customer_ID]],Table1[Customer_ID],Table1[Customer_Name])</f>
        <v>Geraldo Stickney</v>
      </c>
    </row>
    <row r="592" spans="1:10" x14ac:dyDescent="0.35">
      <c r="A592" s="4">
        <v>40856</v>
      </c>
      <c r="B592" s="2">
        <v>10698</v>
      </c>
      <c r="C592" s="2">
        <v>53</v>
      </c>
      <c r="D592" s="2">
        <v>51</v>
      </c>
      <c r="E592" s="2">
        <v>24</v>
      </c>
      <c r="F592" s="2">
        <v>1</v>
      </c>
      <c r="G592" s="2">
        <v>2</v>
      </c>
      <c r="H592" s="2">
        <v>19</v>
      </c>
      <c r="I592" s="2">
        <v>25</v>
      </c>
      <c r="J592" t="str">
        <f>_xlfn.XLOOKUP(Table2[[#This Row],[Customer_ID]],Table1[Customer_ID],Table1[Customer_Name])</f>
        <v>Gladis Hasan</v>
      </c>
    </row>
    <row r="593" spans="1:10" x14ac:dyDescent="0.35">
      <c r="A593" s="4">
        <v>40856</v>
      </c>
      <c r="B593" s="2">
        <v>10698</v>
      </c>
      <c r="C593" s="2">
        <v>57</v>
      </c>
      <c r="D593" s="2">
        <v>51</v>
      </c>
      <c r="E593" s="2">
        <v>24</v>
      </c>
      <c r="F593" s="2">
        <v>1</v>
      </c>
      <c r="G593" s="2">
        <v>1</v>
      </c>
      <c r="H593" s="2">
        <v>4</v>
      </c>
      <c r="I593" s="2">
        <v>25</v>
      </c>
      <c r="J593" t="str">
        <f>_xlfn.XLOOKUP(Table2[[#This Row],[Customer_ID]],Table1[Customer_ID],Table1[Customer_Name])</f>
        <v>Gladis Hasan</v>
      </c>
    </row>
    <row r="594" spans="1:10" x14ac:dyDescent="0.35">
      <c r="A594" s="4">
        <v>40856</v>
      </c>
      <c r="B594" s="2">
        <v>10698</v>
      </c>
      <c r="C594" s="2">
        <v>34</v>
      </c>
      <c r="D594" s="2">
        <v>51</v>
      </c>
      <c r="E594" s="2">
        <v>24</v>
      </c>
      <c r="F594" s="2">
        <v>1</v>
      </c>
      <c r="G594" s="2">
        <v>1</v>
      </c>
      <c r="H594" s="2">
        <v>9</v>
      </c>
      <c r="I594" s="2">
        <v>25</v>
      </c>
      <c r="J594" t="str">
        <f>_xlfn.XLOOKUP(Table2[[#This Row],[Customer_ID]],Table1[Customer_ID],Table1[Customer_Name])</f>
        <v>Gladis Hasan</v>
      </c>
    </row>
    <row r="595" spans="1:10" x14ac:dyDescent="0.35">
      <c r="A595" s="4">
        <v>40856</v>
      </c>
      <c r="B595" s="2">
        <v>10698</v>
      </c>
      <c r="C595" s="2">
        <v>68</v>
      </c>
      <c r="D595" s="2">
        <v>51</v>
      </c>
      <c r="E595" s="2">
        <v>24</v>
      </c>
      <c r="F595" s="2">
        <v>1</v>
      </c>
      <c r="G595" s="2">
        <v>3</v>
      </c>
      <c r="H595" s="2">
        <v>23</v>
      </c>
      <c r="I595" s="2">
        <v>25</v>
      </c>
      <c r="J595" t="str">
        <f>_xlfn.XLOOKUP(Table2[[#This Row],[Customer_ID]],Table1[Customer_ID],Table1[Customer_Name])</f>
        <v>Gladis Hasan</v>
      </c>
    </row>
    <row r="596" spans="1:10" x14ac:dyDescent="0.35">
      <c r="A596" s="4">
        <v>40856</v>
      </c>
      <c r="B596" s="2">
        <v>10698</v>
      </c>
      <c r="C596" s="2">
        <v>19</v>
      </c>
      <c r="D596" s="2">
        <v>51</v>
      </c>
      <c r="E596" s="2">
        <v>24</v>
      </c>
      <c r="F596" s="2">
        <v>1</v>
      </c>
      <c r="G596" s="2">
        <v>1</v>
      </c>
      <c r="H596" s="2">
        <v>129</v>
      </c>
      <c r="I596" s="2">
        <v>25</v>
      </c>
      <c r="J596" t="str">
        <f>_xlfn.XLOOKUP(Table2[[#This Row],[Customer_ID]],Table1[Customer_ID],Table1[Customer_Name])</f>
        <v>Gladis Hasan</v>
      </c>
    </row>
    <row r="597" spans="1:10" x14ac:dyDescent="0.35">
      <c r="A597" s="4">
        <v>40857</v>
      </c>
      <c r="B597" s="2">
        <v>10700</v>
      </c>
      <c r="C597" s="2">
        <v>13</v>
      </c>
      <c r="D597" s="2">
        <v>53</v>
      </c>
      <c r="E597" s="2">
        <v>43</v>
      </c>
      <c r="F597" s="2">
        <v>1</v>
      </c>
      <c r="G597" s="2">
        <v>8</v>
      </c>
      <c r="H597" s="2">
        <v>446</v>
      </c>
      <c r="I597" s="2">
        <v>25</v>
      </c>
      <c r="J597" t="str">
        <f>_xlfn.XLOOKUP(Table2[[#This Row],[Customer_ID]],Table1[Customer_ID],Table1[Customer_Name])</f>
        <v>Gracia Jelks</v>
      </c>
    </row>
    <row r="598" spans="1:10" x14ac:dyDescent="0.35">
      <c r="A598" s="4">
        <v>40857</v>
      </c>
      <c r="B598" s="2">
        <v>10700</v>
      </c>
      <c r="C598" s="2">
        <v>12</v>
      </c>
      <c r="D598" s="2">
        <v>53</v>
      </c>
      <c r="E598" s="2">
        <v>43</v>
      </c>
      <c r="F598" s="2">
        <v>1</v>
      </c>
      <c r="G598" s="2">
        <v>3</v>
      </c>
      <c r="H598" s="2">
        <v>592</v>
      </c>
      <c r="I598" s="2">
        <v>25</v>
      </c>
      <c r="J598" t="str">
        <f>_xlfn.XLOOKUP(Table2[[#This Row],[Customer_ID]],Table1[Customer_ID],Table1[Customer_Name])</f>
        <v>Gracia Jelks</v>
      </c>
    </row>
    <row r="599" spans="1:10" x14ac:dyDescent="0.35">
      <c r="A599" s="4">
        <v>40857</v>
      </c>
      <c r="B599" s="2">
        <v>10700</v>
      </c>
      <c r="C599" s="2">
        <v>32</v>
      </c>
      <c r="D599" s="2">
        <v>53</v>
      </c>
      <c r="E599" s="2">
        <v>43</v>
      </c>
      <c r="F599" s="2">
        <v>1</v>
      </c>
      <c r="G599" s="2">
        <v>5</v>
      </c>
      <c r="H599" s="2">
        <v>5</v>
      </c>
      <c r="I599" s="2">
        <v>25</v>
      </c>
      <c r="J599" t="str">
        <f>_xlfn.XLOOKUP(Table2[[#This Row],[Customer_ID]],Table1[Customer_ID],Table1[Customer_Name])</f>
        <v>Gracia Jelks</v>
      </c>
    </row>
    <row r="600" spans="1:10" x14ac:dyDescent="0.35">
      <c r="A600" s="4">
        <v>40857</v>
      </c>
      <c r="B600" s="2">
        <v>10700</v>
      </c>
      <c r="C600" s="2">
        <v>14</v>
      </c>
      <c r="D600" s="2">
        <v>53</v>
      </c>
      <c r="E600" s="2">
        <v>43</v>
      </c>
      <c r="F600" s="2">
        <v>1</v>
      </c>
      <c r="G600" s="2">
        <v>4</v>
      </c>
      <c r="H600" s="2">
        <v>482</v>
      </c>
      <c r="I600" s="2">
        <v>25</v>
      </c>
      <c r="J600" t="str">
        <f>_xlfn.XLOOKUP(Table2[[#This Row],[Customer_ID]],Table1[Customer_ID],Table1[Customer_Name])</f>
        <v>Gracia Jelks</v>
      </c>
    </row>
    <row r="601" spans="1:10" x14ac:dyDescent="0.35">
      <c r="A601" s="4">
        <v>40860</v>
      </c>
      <c r="B601" s="2">
        <v>10702</v>
      </c>
      <c r="C601" s="2">
        <v>15</v>
      </c>
      <c r="D601" s="2">
        <v>55</v>
      </c>
      <c r="E601" s="2">
        <v>53</v>
      </c>
      <c r="F601" s="2">
        <v>1</v>
      </c>
      <c r="G601" s="2">
        <v>9</v>
      </c>
      <c r="H601" s="2">
        <v>428</v>
      </c>
      <c r="I601" s="2">
        <v>25</v>
      </c>
      <c r="J601" t="str">
        <f>_xlfn.XLOOKUP(Table2[[#This Row],[Customer_ID]],Table1[Customer_ID],Table1[Customer_Name])</f>
        <v>Harrison Hugh</v>
      </c>
    </row>
    <row r="602" spans="1:10" x14ac:dyDescent="0.35">
      <c r="A602" s="4">
        <v>40860</v>
      </c>
      <c r="B602" s="2">
        <v>10702</v>
      </c>
      <c r="C602" s="2">
        <v>16</v>
      </c>
      <c r="D602" s="2">
        <v>55</v>
      </c>
      <c r="E602" s="2">
        <v>53</v>
      </c>
      <c r="F602" s="2">
        <v>1</v>
      </c>
      <c r="G602" s="2">
        <v>2</v>
      </c>
      <c r="H602" s="2">
        <v>351</v>
      </c>
      <c r="I602" s="2">
        <v>25</v>
      </c>
      <c r="J602" t="str">
        <f>_xlfn.XLOOKUP(Table2[[#This Row],[Customer_ID]],Table1[Customer_ID],Table1[Customer_Name])</f>
        <v>Harrison Hugh</v>
      </c>
    </row>
    <row r="603" spans="1:10" x14ac:dyDescent="0.35">
      <c r="A603" s="4">
        <v>40861</v>
      </c>
      <c r="B603" s="2">
        <v>10704</v>
      </c>
      <c r="C603" s="2">
        <v>408</v>
      </c>
      <c r="D603" s="2">
        <v>57</v>
      </c>
      <c r="E603" s="2">
        <v>28</v>
      </c>
      <c r="F603" s="2">
        <v>1</v>
      </c>
      <c r="G603" s="2">
        <v>2</v>
      </c>
      <c r="H603" s="2">
        <v>20</v>
      </c>
      <c r="I603" s="2">
        <v>25</v>
      </c>
      <c r="J603" t="str">
        <f>_xlfn.XLOOKUP(Table2[[#This Row],[Customer_ID]],Table1[Customer_ID],Table1[Customer_Name])</f>
        <v>Ina Iversen</v>
      </c>
    </row>
    <row r="604" spans="1:10" x14ac:dyDescent="0.35">
      <c r="A604" s="4">
        <v>40861</v>
      </c>
      <c r="B604" s="2">
        <v>10704</v>
      </c>
      <c r="C604" s="2">
        <v>435</v>
      </c>
      <c r="D604" s="2">
        <v>57</v>
      </c>
      <c r="E604" s="2">
        <v>28</v>
      </c>
      <c r="F604" s="2">
        <v>1</v>
      </c>
      <c r="G604" s="2">
        <v>4</v>
      </c>
      <c r="H604" s="2">
        <v>10</v>
      </c>
      <c r="I604" s="2">
        <v>25</v>
      </c>
      <c r="J604" t="str">
        <f>_xlfn.XLOOKUP(Table2[[#This Row],[Customer_ID]],Table1[Customer_ID],Table1[Customer_Name])</f>
        <v>Ina Iversen</v>
      </c>
    </row>
    <row r="605" spans="1:10" x14ac:dyDescent="0.35">
      <c r="A605" s="4">
        <v>40861</v>
      </c>
      <c r="B605" s="2">
        <v>10704</v>
      </c>
      <c r="C605" s="2">
        <v>421</v>
      </c>
      <c r="D605" s="2">
        <v>57</v>
      </c>
      <c r="E605" s="2">
        <v>28</v>
      </c>
      <c r="F605" s="2">
        <v>1</v>
      </c>
      <c r="G605" s="2">
        <v>2</v>
      </c>
      <c r="H605" s="2">
        <v>8</v>
      </c>
      <c r="I605" s="2">
        <v>25</v>
      </c>
      <c r="J605" t="str">
        <f>_xlfn.XLOOKUP(Table2[[#This Row],[Customer_ID]],Table1[Customer_ID],Table1[Customer_Name])</f>
        <v>Ina Iversen</v>
      </c>
    </row>
    <row r="606" spans="1:10" x14ac:dyDescent="0.35">
      <c r="A606" s="4">
        <v>40863</v>
      </c>
      <c r="B606" s="2">
        <v>10706</v>
      </c>
      <c r="C606" s="2">
        <v>168</v>
      </c>
      <c r="D606" s="2">
        <v>59</v>
      </c>
      <c r="E606" s="2">
        <v>76</v>
      </c>
      <c r="F606" s="2">
        <v>1</v>
      </c>
      <c r="G606" s="2">
        <v>2</v>
      </c>
      <c r="H606" s="2">
        <v>205</v>
      </c>
      <c r="I606" s="2">
        <v>25</v>
      </c>
      <c r="J606" t="str">
        <f>_xlfn.XLOOKUP(Table2[[#This Row],[Customer_ID]],Table1[Customer_ID],Table1[Customer_Name])</f>
        <v>Janella Vallo</v>
      </c>
    </row>
    <row r="607" spans="1:10" x14ac:dyDescent="0.35">
      <c r="A607" s="4">
        <v>40863</v>
      </c>
      <c r="B607" s="2">
        <v>10706</v>
      </c>
      <c r="C607" s="2">
        <v>165</v>
      </c>
      <c r="D607" s="2">
        <v>59</v>
      </c>
      <c r="E607" s="2">
        <v>76</v>
      </c>
      <c r="F607" s="2">
        <v>1</v>
      </c>
      <c r="G607" s="2">
        <v>1</v>
      </c>
      <c r="H607" s="2">
        <v>202</v>
      </c>
      <c r="I607" s="2">
        <v>25</v>
      </c>
      <c r="J607" t="str">
        <f>_xlfn.XLOOKUP(Table2[[#This Row],[Customer_ID]],Table1[Customer_ID],Table1[Customer_Name])</f>
        <v>Janella Vallo</v>
      </c>
    </row>
    <row r="608" spans="1:10" x14ac:dyDescent="0.35">
      <c r="A608" s="4">
        <v>40863</v>
      </c>
      <c r="B608" s="2">
        <v>10706</v>
      </c>
      <c r="C608" s="2">
        <v>135</v>
      </c>
      <c r="D608" s="2">
        <v>59</v>
      </c>
      <c r="E608" s="2">
        <v>76</v>
      </c>
      <c r="F608" s="2">
        <v>1</v>
      </c>
      <c r="G608" s="2">
        <v>1</v>
      </c>
      <c r="H608" s="2">
        <v>141</v>
      </c>
      <c r="I608" s="2">
        <v>25</v>
      </c>
      <c r="J608" t="str">
        <f>_xlfn.XLOOKUP(Table2[[#This Row],[Customer_ID]],Table1[Customer_ID],Table1[Customer_Name])</f>
        <v>Janella Vallo</v>
      </c>
    </row>
    <row r="609" spans="1:10" x14ac:dyDescent="0.35">
      <c r="A609" s="4">
        <v>40864</v>
      </c>
      <c r="B609" s="2">
        <v>10708</v>
      </c>
      <c r="C609" s="2">
        <v>242</v>
      </c>
      <c r="D609" s="2">
        <v>61</v>
      </c>
      <c r="E609" s="2">
        <v>24</v>
      </c>
      <c r="F609" s="2">
        <v>1</v>
      </c>
      <c r="G609" s="2">
        <v>2</v>
      </c>
      <c r="H609" s="2">
        <v>20</v>
      </c>
      <c r="I609" s="2">
        <v>25</v>
      </c>
      <c r="J609" t="str">
        <f>_xlfn.XLOOKUP(Table2[[#This Row],[Customer_ID]],Table1[Customer_ID],Table1[Customer_Name])</f>
        <v>Jeanelle Joynes</v>
      </c>
    </row>
    <row r="610" spans="1:10" x14ac:dyDescent="0.35">
      <c r="A610" s="4">
        <v>40864</v>
      </c>
      <c r="B610" s="2">
        <v>10708</v>
      </c>
      <c r="C610" s="2">
        <v>289</v>
      </c>
      <c r="D610" s="2">
        <v>61</v>
      </c>
      <c r="E610" s="2">
        <v>24</v>
      </c>
      <c r="F610" s="2">
        <v>1</v>
      </c>
      <c r="G610" s="2">
        <v>2</v>
      </c>
      <c r="H610" s="2">
        <v>4</v>
      </c>
      <c r="I610" s="2">
        <v>25</v>
      </c>
      <c r="J610" t="str">
        <f>_xlfn.XLOOKUP(Table2[[#This Row],[Customer_ID]],Table1[Customer_ID],Table1[Customer_Name])</f>
        <v>Jeanelle Joynes</v>
      </c>
    </row>
    <row r="611" spans="1:10" x14ac:dyDescent="0.35">
      <c r="A611" s="4">
        <v>40867</v>
      </c>
      <c r="B611" s="2">
        <v>10710</v>
      </c>
      <c r="C611" s="2">
        <v>42</v>
      </c>
      <c r="D611" s="2">
        <v>63</v>
      </c>
      <c r="E611" s="2">
        <v>33</v>
      </c>
      <c r="F611" s="2">
        <v>1</v>
      </c>
      <c r="G611" s="2">
        <v>15</v>
      </c>
      <c r="H611" s="2">
        <v>13</v>
      </c>
      <c r="I611" s="2">
        <v>25</v>
      </c>
      <c r="J611" t="str">
        <f>_xlfn.XLOOKUP(Table2[[#This Row],[Customer_ID]],Table1[Customer_ID],Table1[Customer_Name])</f>
        <v>Johnathon Tucker</v>
      </c>
    </row>
    <row r="612" spans="1:10" x14ac:dyDescent="0.35">
      <c r="A612" s="4">
        <v>40867</v>
      </c>
      <c r="B612" s="2">
        <v>10710</v>
      </c>
      <c r="C612" s="2">
        <v>347</v>
      </c>
      <c r="D612" s="2">
        <v>63</v>
      </c>
      <c r="E612" s="2">
        <v>33</v>
      </c>
      <c r="F612" s="2">
        <v>1</v>
      </c>
      <c r="G612" s="2">
        <v>3</v>
      </c>
      <c r="H612" s="2">
        <v>5</v>
      </c>
      <c r="I612" s="2">
        <v>25</v>
      </c>
      <c r="J612" t="str">
        <f>_xlfn.XLOOKUP(Table2[[#This Row],[Customer_ID]],Table1[Customer_ID],Table1[Customer_Name])</f>
        <v>Johnathon Tucker</v>
      </c>
    </row>
    <row r="613" spans="1:10" x14ac:dyDescent="0.35">
      <c r="A613" s="4">
        <v>40868</v>
      </c>
      <c r="B613" s="2">
        <v>10712</v>
      </c>
      <c r="C613" s="2">
        <v>41</v>
      </c>
      <c r="D613" s="2">
        <v>65</v>
      </c>
      <c r="E613" s="2">
        <v>31</v>
      </c>
      <c r="F613" s="2">
        <v>1</v>
      </c>
      <c r="G613" s="2">
        <v>1</v>
      </c>
      <c r="H613" s="2">
        <v>90</v>
      </c>
      <c r="I613" s="2">
        <v>25</v>
      </c>
      <c r="J613" t="str">
        <f>_xlfn.XLOOKUP(Table2[[#This Row],[Customer_ID]],Table1[Customer_ID],Table1[Customer_Name])</f>
        <v>Judie Sawicki</v>
      </c>
    </row>
    <row r="614" spans="1:10" x14ac:dyDescent="0.35">
      <c r="A614" s="4">
        <v>40868</v>
      </c>
      <c r="B614" s="2">
        <v>10712</v>
      </c>
      <c r="C614" s="2">
        <v>294</v>
      </c>
      <c r="D614" s="2">
        <v>65</v>
      </c>
      <c r="E614" s="2">
        <v>31</v>
      </c>
      <c r="F614" s="2">
        <v>1</v>
      </c>
      <c r="G614" s="2">
        <v>5</v>
      </c>
      <c r="H614" s="2">
        <v>3</v>
      </c>
      <c r="I614" s="2">
        <v>25</v>
      </c>
      <c r="J614" t="str">
        <f>_xlfn.XLOOKUP(Table2[[#This Row],[Customer_ID]],Table1[Customer_ID],Table1[Customer_Name])</f>
        <v>Judie Sawicki</v>
      </c>
    </row>
    <row r="615" spans="1:10" x14ac:dyDescent="0.35">
      <c r="A615" s="4">
        <v>40869</v>
      </c>
      <c r="B615" s="2">
        <v>10714</v>
      </c>
      <c r="C615" s="2">
        <v>351</v>
      </c>
      <c r="D615" s="2">
        <v>67</v>
      </c>
      <c r="F615" s="2">
        <v>1</v>
      </c>
      <c r="G615" s="2">
        <v>2</v>
      </c>
      <c r="H615" s="2">
        <v>66</v>
      </c>
      <c r="I615" s="2">
        <v>25</v>
      </c>
      <c r="J615" t="str">
        <f>_xlfn.XLOOKUP(Table2[[#This Row],[Customer_ID]],Table1[Customer_ID],Table1[Customer_Name])</f>
        <v>Kaitlyn Killian</v>
      </c>
    </row>
    <row r="616" spans="1:10" x14ac:dyDescent="0.35">
      <c r="A616" s="4">
        <v>40869</v>
      </c>
      <c r="B616" s="2">
        <v>10714</v>
      </c>
      <c r="C616" s="2">
        <v>325</v>
      </c>
      <c r="D616" s="2">
        <v>67</v>
      </c>
      <c r="F616" s="2">
        <v>1</v>
      </c>
      <c r="G616" s="2">
        <v>1</v>
      </c>
      <c r="H616" s="2">
        <v>66</v>
      </c>
      <c r="I616" s="2">
        <v>25</v>
      </c>
      <c r="J616" t="str">
        <f>_xlfn.XLOOKUP(Table2[[#This Row],[Customer_ID]],Table1[Customer_ID],Table1[Customer_Name])</f>
        <v>Kaitlyn Killian</v>
      </c>
    </row>
    <row r="617" spans="1:10" x14ac:dyDescent="0.35">
      <c r="A617" s="4">
        <v>40869</v>
      </c>
      <c r="B617" s="2">
        <v>10714</v>
      </c>
      <c r="C617" s="2">
        <v>360</v>
      </c>
      <c r="D617" s="2">
        <v>67</v>
      </c>
      <c r="F617" s="2">
        <v>1</v>
      </c>
      <c r="G617" s="2">
        <v>6</v>
      </c>
      <c r="H617" s="2">
        <v>45</v>
      </c>
      <c r="I617" s="2">
        <v>25</v>
      </c>
      <c r="J617" t="str">
        <f>_xlfn.XLOOKUP(Table2[[#This Row],[Customer_ID]],Table1[Customer_ID],Table1[Customer_Name])</f>
        <v>Kaitlyn Killian</v>
      </c>
    </row>
    <row r="618" spans="1:10" x14ac:dyDescent="0.35">
      <c r="A618" s="4">
        <v>40869</v>
      </c>
      <c r="B618" s="2">
        <v>10714</v>
      </c>
      <c r="C618" s="2">
        <v>403</v>
      </c>
      <c r="D618" s="2">
        <v>67</v>
      </c>
      <c r="F618" s="2">
        <v>1</v>
      </c>
      <c r="G618" s="2">
        <v>2</v>
      </c>
      <c r="H618" s="2">
        <v>18</v>
      </c>
      <c r="I618" s="2">
        <v>25</v>
      </c>
      <c r="J618" t="str">
        <f>_xlfn.XLOOKUP(Table2[[#This Row],[Customer_ID]],Table1[Customer_ID],Table1[Customer_Name])</f>
        <v>Kaitlyn Killian</v>
      </c>
    </row>
    <row r="619" spans="1:10" x14ac:dyDescent="0.35">
      <c r="A619" s="4">
        <v>40869</v>
      </c>
      <c r="B619" s="2">
        <v>10714</v>
      </c>
      <c r="C619" s="2">
        <v>290</v>
      </c>
      <c r="D619" s="2">
        <v>67</v>
      </c>
      <c r="F619" s="2">
        <v>1</v>
      </c>
      <c r="G619" s="2">
        <v>7</v>
      </c>
      <c r="H619" s="2">
        <v>9</v>
      </c>
      <c r="I619" s="2">
        <v>25</v>
      </c>
      <c r="J619" t="str">
        <f>_xlfn.XLOOKUP(Table2[[#This Row],[Customer_ID]],Table1[Customer_ID],Table1[Customer_Name])</f>
        <v>Kaitlyn Killian</v>
      </c>
    </row>
    <row r="620" spans="1:10" x14ac:dyDescent="0.35">
      <c r="A620" s="4">
        <v>40871</v>
      </c>
      <c r="B620" s="2">
        <v>10716</v>
      </c>
      <c r="C620" s="2">
        <v>238</v>
      </c>
      <c r="D620" s="2">
        <v>69</v>
      </c>
      <c r="F620" s="2">
        <v>1</v>
      </c>
      <c r="G620" s="2">
        <v>2</v>
      </c>
      <c r="H620" s="2">
        <v>24</v>
      </c>
      <c r="I620" s="2">
        <v>25</v>
      </c>
      <c r="J620" t="str">
        <f>_xlfn.XLOOKUP(Table2[[#This Row],[Customer_ID]],Table1[Customer_ID],Table1[Customer_Name])</f>
        <v>Kareem Koser</v>
      </c>
    </row>
    <row r="621" spans="1:10" x14ac:dyDescent="0.35">
      <c r="A621" s="4">
        <v>40871</v>
      </c>
      <c r="B621" s="2">
        <v>10716</v>
      </c>
      <c r="C621" s="2">
        <v>35</v>
      </c>
      <c r="D621" s="2">
        <v>69</v>
      </c>
      <c r="F621" s="2">
        <v>1</v>
      </c>
      <c r="G621" s="2">
        <v>6</v>
      </c>
      <c r="H621" s="2">
        <v>17</v>
      </c>
      <c r="I621" s="2">
        <v>25</v>
      </c>
      <c r="J621" t="str">
        <f>_xlfn.XLOOKUP(Table2[[#This Row],[Customer_ID]],Table1[Customer_ID],Table1[Customer_Name])</f>
        <v>Kareem Koser</v>
      </c>
    </row>
    <row r="622" spans="1:10" x14ac:dyDescent="0.35">
      <c r="A622" s="4">
        <v>40871</v>
      </c>
      <c r="B622" s="2">
        <v>10716</v>
      </c>
      <c r="C622" s="2">
        <v>30</v>
      </c>
      <c r="D622" s="2">
        <v>69</v>
      </c>
      <c r="F622" s="2">
        <v>1</v>
      </c>
      <c r="G622" s="2">
        <v>3</v>
      </c>
      <c r="H622" s="2">
        <v>12</v>
      </c>
      <c r="I622" s="2">
        <v>25</v>
      </c>
      <c r="J622" t="str">
        <f>_xlfn.XLOOKUP(Table2[[#This Row],[Customer_ID]],Table1[Customer_ID],Table1[Customer_Name])</f>
        <v>Kareem Koser</v>
      </c>
    </row>
    <row r="623" spans="1:10" x14ac:dyDescent="0.35">
      <c r="A623" s="4">
        <v>40874</v>
      </c>
      <c r="B623" s="2">
        <v>10718</v>
      </c>
      <c r="C623" s="2">
        <v>3</v>
      </c>
      <c r="D623" s="2">
        <v>71</v>
      </c>
      <c r="F623" s="2">
        <v>1</v>
      </c>
      <c r="G623" s="2">
        <v>2</v>
      </c>
      <c r="H623" s="2">
        <v>532</v>
      </c>
      <c r="I623" s="2">
        <v>25</v>
      </c>
      <c r="J623" t="str">
        <f>_xlfn.XLOOKUP(Table2[[#This Row],[Customer_ID]],Table1[Customer_ID],Table1[Customer_Name])</f>
        <v>Karissa Kircher</v>
      </c>
    </row>
    <row r="624" spans="1:10" x14ac:dyDescent="0.35">
      <c r="A624" s="4">
        <v>40874</v>
      </c>
      <c r="B624" s="2">
        <v>10718</v>
      </c>
      <c r="C624" s="2">
        <v>11</v>
      </c>
      <c r="D624" s="2">
        <v>71</v>
      </c>
      <c r="F624" s="2">
        <v>1</v>
      </c>
      <c r="G624" s="2">
        <v>2</v>
      </c>
      <c r="H624" s="2">
        <v>208</v>
      </c>
      <c r="I624" s="2">
        <v>25</v>
      </c>
      <c r="J624" t="str">
        <f>_xlfn.XLOOKUP(Table2[[#This Row],[Customer_ID]],Table1[Customer_ID],Table1[Customer_Name])</f>
        <v>Karissa Kircher</v>
      </c>
    </row>
    <row r="625" spans="1:10" x14ac:dyDescent="0.35">
      <c r="A625" s="4">
        <v>40874</v>
      </c>
      <c r="B625" s="2">
        <v>10718</v>
      </c>
      <c r="C625" s="2">
        <v>9</v>
      </c>
      <c r="D625" s="2">
        <v>71</v>
      </c>
      <c r="F625" s="2">
        <v>1</v>
      </c>
      <c r="G625" s="2">
        <v>2</v>
      </c>
      <c r="H625" s="2">
        <v>336</v>
      </c>
      <c r="I625" s="2">
        <v>25</v>
      </c>
      <c r="J625" t="str">
        <f>_xlfn.XLOOKUP(Table2[[#This Row],[Customer_ID]],Table1[Customer_ID],Table1[Customer_Name])</f>
        <v>Karissa Kircher</v>
      </c>
    </row>
    <row r="626" spans="1:10" x14ac:dyDescent="0.35">
      <c r="A626" s="4">
        <v>40874</v>
      </c>
      <c r="B626" s="2">
        <v>10718</v>
      </c>
      <c r="C626" s="2">
        <v>4</v>
      </c>
      <c r="D626" s="2">
        <v>71</v>
      </c>
      <c r="F626" s="2">
        <v>1</v>
      </c>
      <c r="G626" s="2">
        <v>6</v>
      </c>
      <c r="H626" s="2">
        <v>506</v>
      </c>
      <c r="I626" s="2">
        <v>25</v>
      </c>
      <c r="J626" t="str">
        <f>_xlfn.XLOOKUP(Table2[[#This Row],[Customer_ID]],Table1[Customer_ID],Table1[Customer_Name])</f>
        <v>Karissa Kircher</v>
      </c>
    </row>
    <row r="627" spans="1:10" x14ac:dyDescent="0.35">
      <c r="A627" s="4">
        <v>40875</v>
      </c>
      <c r="B627" s="2">
        <v>10720</v>
      </c>
      <c r="C627" s="2">
        <v>2</v>
      </c>
      <c r="D627" s="2">
        <v>73</v>
      </c>
      <c r="F627" s="2">
        <v>1</v>
      </c>
      <c r="G627" s="2">
        <v>2</v>
      </c>
      <c r="H627" s="2">
        <v>634</v>
      </c>
      <c r="I627" s="2">
        <v>25</v>
      </c>
      <c r="J627" t="str">
        <f>_xlfn.XLOOKUP(Table2[[#This Row],[Customer_ID]],Table1[Customer_ID],Table1[Customer_Name])</f>
        <v>Katharine Pearcy</v>
      </c>
    </row>
    <row r="628" spans="1:10" x14ac:dyDescent="0.35">
      <c r="A628" s="4">
        <v>40875</v>
      </c>
      <c r="B628" s="2">
        <v>10720</v>
      </c>
      <c r="C628" s="2">
        <v>1</v>
      </c>
      <c r="D628" s="2">
        <v>73</v>
      </c>
      <c r="F628" s="2">
        <v>1</v>
      </c>
      <c r="G628" s="2">
        <v>5</v>
      </c>
      <c r="H628" s="2">
        <v>702</v>
      </c>
      <c r="I628" s="2">
        <v>25</v>
      </c>
      <c r="J628" t="str">
        <f>_xlfn.XLOOKUP(Table2[[#This Row],[Customer_ID]],Table1[Customer_ID],Table1[Customer_Name])</f>
        <v>Katharine Pearcy</v>
      </c>
    </row>
    <row r="629" spans="1:10" x14ac:dyDescent="0.35">
      <c r="A629" s="4">
        <v>40876</v>
      </c>
      <c r="B629" s="2">
        <v>10722</v>
      </c>
      <c r="C629" s="2">
        <v>7</v>
      </c>
      <c r="D629" s="2">
        <v>75</v>
      </c>
      <c r="F629" s="2">
        <v>1</v>
      </c>
      <c r="G629" s="2">
        <v>8</v>
      </c>
      <c r="H629" s="2">
        <v>395</v>
      </c>
      <c r="I629" s="2">
        <v>25</v>
      </c>
      <c r="J629" t="str">
        <f>_xlfn.XLOOKUP(Table2[[#This Row],[Customer_ID]],Table1[Customer_ID],Table1[Customer_Name])</f>
        <v>Keisha Koh</v>
      </c>
    </row>
    <row r="630" spans="1:10" x14ac:dyDescent="0.35">
      <c r="A630" s="4">
        <v>40876</v>
      </c>
      <c r="B630" s="2">
        <v>10722</v>
      </c>
      <c r="C630" s="2">
        <v>5</v>
      </c>
      <c r="D630" s="2">
        <v>75</v>
      </c>
      <c r="F630" s="2">
        <v>1</v>
      </c>
      <c r="G630" s="2">
        <v>4</v>
      </c>
      <c r="H630" s="2">
        <v>497</v>
      </c>
      <c r="I630" s="2">
        <v>25</v>
      </c>
      <c r="J630" t="str">
        <f>_xlfn.XLOOKUP(Table2[[#This Row],[Customer_ID]],Table1[Customer_ID],Table1[Customer_Name])</f>
        <v>Keisha Koh</v>
      </c>
    </row>
    <row r="631" spans="1:10" x14ac:dyDescent="0.35">
      <c r="A631" s="4">
        <v>40876</v>
      </c>
      <c r="B631" s="2">
        <v>10722</v>
      </c>
      <c r="C631" s="2">
        <v>180</v>
      </c>
      <c r="D631" s="2">
        <v>75</v>
      </c>
      <c r="F631" s="2">
        <v>1</v>
      </c>
      <c r="G631" s="2">
        <v>7</v>
      </c>
      <c r="H631" s="2">
        <v>261</v>
      </c>
      <c r="I631" s="2">
        <v>25</v>
      </c>
      <c r="J631" t="str">
        <f>_xlfn.XLOOKUP(Table2[[#This Row],[Customer_ID]],Table1[Customer_ID],Table1[Customer_Name])</f>
        <v>Keisha Koh</v>
      </c>
    </row>
    <row r="632" spans="1:10" x14ac:dyDescent="0.35">
      <c r="A632" s="4">
        <v>40876</v>
      </c>
      <c r="B632" s="2">
        <v>10722</v>
      </c>
      <c r="C632" s="2">
        <v>178</v>
      </c>
      <c r="D632" s="2">
        <v>75</v>
      </c>
      <c r="F632" s="2">
        <v>1</v>
      </c>
      <c r="G632" s="2">
        <v>2</v>
      </c>
      <c r="H632" s="2">
        <v>293</v>
      </c>
      <c r="I632" s="2">
        <v>25</v>
      </c>
      <c r="J632" t="str">
        <f>_xlfn.XLOOKUP(Table2[[#This Row],[Customer_ID]],Table1[Customer_ID],Table1[Customer_Name])</f>
        <v>Keisha Koh</v>
      </c>
    </row>
    <row r="633" spans="1:10" x14ac:dyDescent="0.35">
      <c r="A633" s="4">
        <v>40877</v>
      </c>
      <c r="B633" s="2">
        <v>10724</v>
      </c>
      <c r="C633" s="2">
        <v>179</v>
      </c>
      <c r="D633" s="2">
        <v>77</v>
      </c>
      <c r="F633" s="2">
        <v>1</v>
      </c>
      <c r="G633" s="2">
        <v>3</v>
      </c>
      <c r="H633" s="2">
        <v>425</v>
      </c>
      <c r="I633" s="2">
        <v>25</v>
      </c>
      <c r="J633" t="str">
        <f>_xlfn.XLOOKUP(Table2[[#This Row],[Customer_ID]],Table1[Customer_ID],Table1[Customer_Name])</f>
        <v>Kyla Danek</v>
      </c>
    </row>
    <row r="634" spans="1:10" x14ac:dyDescent="0.35">
      <c r="A634" s="4">
        <v>40877</v>
      </c>
      <c r="B634" s="2">
        <v>10724</v>
      </c>
      <c r="C634" s="2">
        <v>49</v>
      </c>
      <c r="D634" s="2">
        <v>77</v>
      </c>
      <c r="F634" s="2">
        <v>1</v>
      </c>
      <c r="G634" s="2">
        <v>1</v>
      </c>
      <c r="H634" s="2">
        <v>30</v>
      </c>
      <c r="I634" s="2">
        <v>25</v>
      </c>
      <c r="J634" t="str">
        <f>_xlfn.XLOOKUP(Table2[[#This Row],[Customer_ID]],Table1[Customer_ID],Table1[Customer_Name])</f>
        <v>Kyla Danek</v>
      </c>
    </row>
    <row r="635" spans="1:10" x14ac:dyDescent="0.35">
      <c r="A635" s="4">
        <v>40881</v>
      </c>
      <c r="B635" s="2">
        <v>10726</v>
      </c>
      <c r="C635" s="2">
        <v>120</v>
      </c>
      <c r="D635" s="2">
        <v>79</v>
      </c>
      <c r="F635" s="2">
        <v>1</v>
      </c>
      <c r="G635" s="2">
        <v>8</v>
      </c>
      <c r="H635" s="2">
        <v>372</v>
      </c>
      <c r="I635" s="2">
        <v>25</v>
      </c>
      <c r="J635" t="str">
        <f>_xlfn.XLOOKUP(Table2[[#This Row],[Customer_ID]],Table1[Customer_ID],Table1[Customer_Name])</f>
        <v>Lala Ladue</v>
      </c>
    </row>
    <row r="636" spans="1:10" x14ac:dyDescent="0.35">
      <c r="A636" s="4">
        <v>40881</v>
      </c>
      <c r="B636" s="2">
        <v>10726</v>
      </c>
      <c r="C636" s="2">
        <v>124</v>
      </c>
      <c r="D636" s="2">
        <v>79</v>
      </c>
      <c r="F636" s="2">
        <v>1</v>
      </c>
      <c r="G636" s="2">
        <v>2</v>
      </c>
      <c r="H636" s="2">
        <v>522</v>
      </c>
      <c r="I636" s="2">
        <v>25</v>
      </c>
      <c r="J636" t="str">
        <f>_xlfn.XLOOKUP(Table2[[#This Row],[Customer_ID]],Table1[Customer_ID],Table1[Customer_Name])</f>
        <v>Lala Ladue</v>
      </c>
    </row>
    <row r="637" spans="1:10" x14ac:dyDescent="0.35">
      <c r="A637" s="4">
        <v>40882</v>
      </c>
      <c r="B637" s="2">
        <v>10728</v>
      </c>
      <c r="C637" s="2">
        <v>71</v>
      </c>
      <c r="D637" s="2">
        <v>81</v>
      </c>
      <c r="F637" s="2">
        <v>1</v>
      </c>
      <c r="G637" s="2">
        <v>4</v>
      </c>
      <c r="H637" s="2">
        <v>12</v>
      </c>
      <c r="I637" s="2">
        <v>25</v>
      </c>
      <c r="J637" t="str">
        <f>_xlfn.XLOOKUP(Table2[[#This Row],[Customer_ID]],Table1[Customer_ID],Table1[Customer_Name])</f>
        <v>Leanne Lockhart</v>
      </c>
    </row>
    <row r="638" spans="1:10" x14ac:dyDescent="0.35">
      <c r="A638" s="4">
        <v>40882</v>
      </c>
      <c r="B638" s="2">
        <v>10728</v>
      </c>
      <c r="C638" s="2">
        <v>123</v>
      </c>
      <c r="D638" s="2">
        <v>81</v>
      </c>
      <c r="F638" s="2">
        <v>1</v>
      </c>
      <c r="G638" s="2">
        <v>7</v>
      </c>
      <c r="H638" s="2">
        <v>1043</v>
      </c>
      <c r="I638" s="2">
        <v>25</v>
      </c>
      <c r="J638" t="str">
        <f>_xlfn.XLOOKUP(Table2[[#This Row],[Customer_ID]],Table1[Customer_ID],Table1[Customer_Name])</f>
        <v>Leanne Lockhart</v>
      </c>
    </row>
    <row r="639" spans="1:10" x14ac:dyDescent="0.35">
      <c r="A639" s="4">
        <v>40882</v>
      </c>
      <c r="B639" s="2">
        <v>10728</v>
      </c>
      <c r="C639" s="2">
        <v>85</v>
      </c>
      <c r="D639" s="2">
        <v>81</v>
      </c>
      <c r="F639" s="2">
        <v>1</v>
      </c>
      <c r="G639" s="2">
        <v>1</v>
      </c>
      <c r="H639" s="2">
        <v>4</v>
      </c>
      <c r="I639" s="2">
        <v>25</v>
      </c>
      <c r="J639" t="str">
        <f>_xlfn.XLOOKUP(Table2[[#This Row],[Customer_ID]],Table1[Customer_ID],Table1[Customer_Name])</f>
        <v>Leanne Lockhart</v>
      </c>
    </row>
    <row r="640" spans="1:10" x14ac:dyDescent="0.35">
      <c r="A640" s="4">
        <v>40882</v>
      </c>
      <c r="B640" s="2">
        <v>10728</v>
      </c>
      <c r="C640" s="2">
        <v>10</v>
      </c>
      <c r="D640" s="2">
        <v>81</v>
      </c>
      <c r="F640" s="2">
        <v>1</v>
      </c>
      <c r="G640" s="2">
        <v>8</v>
      </c>
      <c r="H640" s="2">
        <v>236</v>
      </c>
      <c r="I640" s="2">
        <v>25</v>
      </c>
      <c r="J640" t="str">
        <f>_xlfn.XLOOKUP(Table2[[#This Row],[Customer_ID]],Table1[Customer_ID],Table1[Customer_Name])</f>
        <v>Leanne Lockhart</v>
      </c>
    </row>
    <row r="641" spans="1:10" x14ac:dyDescent="0.35">
      <c r="A641" s="4">
        <v>40883</v>
      </c>
      <c r="B641" s="2">
        <v>10730</v>
      </c>
      <c r="C641" s="2">
        <v>76</v>
      </c>
      <c r="D641" s="2">
        <v>83</v>
      </c>
      <c r="F641" s="2">
        <v>1</v>
      </c>
      <c r="G641" s="2">
        <v>2</v>
      </c>
      <c r="H641" s="2">
        <v>15</v>
      </c>
      <c r="I641" s="2">
        <v>25</v>
      </c>
      <c r="J641" t="str">
        <f>_xlfn.XLOOKUP(Table2[[#This Row],[Customer_ID]],Table1[Customer_ID],Table1[Customer_Name])</f>
        <v>Lily Weatherford</v>
      </c>
    </row>
    <row r="642" spans="1:10" x14ac:dyDescent="0.35">
      <c r="A642" s="4">
        <v>40883</v>
      </c>
      <c r="B642" s="2">
        <v>10730</v>
      </c>
      <c r="C642" s="2">
        <v>82</v>
      </c>
      <c r="D642" s="2">
        <v>83</v>
      </c>
      <c r="F642" s="2">
        <v>1</v>
      </c>
      <c r="G642" s="2">
        <v>5</v>
      </c>
      <c r="H642" s="2">
        <v>29</v>
      </c>
      <c r="I642" s="2">
        <v>25</v>
      </c>
      <c r="J642" t="str">
        <f>_xlfn.XLOOKUP(Table2[[#This Row],[Customer_ID]],Table1[Customer_ID],Table1[Customer_Name])</f>
        <v>Lily Weatherford</v>
      </c>
    </row>
    <row r="643" spans="1:10" x14ac:dyDescent="0.35">
      <c r="A643" s="4">
        <v>40883</v>
      </c>
      <c r="B643" s="2">
        <v>10730</v>
      </c>
      <c r="C643" s="2">
        <v>81</v>
      </c>
      <c r="D643" s="2">
        <v>83</v>
      </c>
      <c r="F643" s="2">
        <v>1</v>
      </c>
      <c r="G643" s="2">
        <v>4</v>
      </c>
      <c r="H643" s="2">
        <v>8</v>
      </c>
      <c r="I643" s="2">
        <v>25</v>
      </c>
      <c r="J643" t="str">
        <f>_xlfn.XLOOKUP(Table2[[#This Row],[Customer_ID]],Table1[Customer_ID],Table1[Customer_Name])</f>
        <v>Lily Weatherford</v>
      </c>
    </row>
    <row r="644" spans="1:10" x14ac:dyDescent="0.35">
      <c r="A644" s="4">
        <v>40884</v>
      </c>
      <c r="B644" s="2">
        <v>10732</v>
      </c>
      <c r="C644" s="2">
        <v>299</v>
      </c>
      <c r="D644" s="2">
        <v>85</v>
      </c>
      <c r="F644" s="2">
        <v>1</v>
      </c>
      <c r="G644" s="2">
        <v>2</v>
      </c>
      <c r="H644" s="2">
        <v>3</v>
      </c>
      <c r="I644" s="2">
        <v>25</v>
      </c>
      <c r="J644" t="str">
        <f>_xlfn.XLOOKUP(Table2[[#This Row],[Customer_ID]],Table1[Customer_ID],Table1[Customer_Name])</f>
        <v>Lissette Layton</v>
      </c>
    </row>
    <row r="645" spans="1:10" x14ac:dyDescent="0.35">
      <c r="A645" s="4">
        <v>40885</v>
      </c>
      <c r="B645" s="2">
        <v>10734</v>
      </c>
      <c r="C645" s="2">
        <v>388</v>
      </c>
      <c r="D645" s="2">
        <v>87</v>
      </c>
      <c r="F645" s="2">
        <v>1</v>
      </c>
      <c r="G645" s="2">
        <v>2</v>
      </c>
      <c r="H645" s="2">
        <v>15</v>
      </c>
      <c r="I645" s="2">
        <v>25</v>
      </c>
      <c r="J645" t="str">
        <f>_xlfn.XLOOKUP(Table2[[#This Row],[Customer_ID]],Table1[Customer_ID],Table1[Customer_Name])</f>
        <v>Lynnette Loyola</v>
      </c>
    </row>
    <row r="646" spans="1:10" x14ac:dyDescent="0.35">
      <c r="A646" s="4">
        <v>40885</v>
      </c>
      <c r="B646" s="2">
        <v>10734</v>
      </c>
      <c r="C646" s="2">
        <v>386</v>
      </c>
      <c r="D646" s="2">
        <v>87</v>
      </c>
      <c r="F646" s="2">
        <v>1</v>
      </c>
      <c r="G646" s="2">
        <v>1</v>
      </c>
      <c r="H646" s="2">
        <v>15</v>
      </c>
      <c r="I646" s="2">
        <v>25</v>
      </c>
      <c r="J646" t="str">
        <f>_xlfn.XLOOKUP(Table2[[#This Row],[Customer_ID]],Table1[Customer_ID],Table1[Customer_Name])</f>
        <v>Lynnette Loyola</v>
      </c>
    </row>
    <row r="647" spans="1:10" x14ac:dyDescent="0.35">
      <c r="A647" s="4">
        <v>40885</v>
      </c>
      <c r="B647" s="2">
        <v>10734</v>
      </c>
      <c r="C647" s="2">
        <v>417</v>
      </c>
      <c r="D647" s="2">
        <v>87</v>
      </c>
      <c r="F647" s="2">
        <v>1</v>
      </c>
      <c r="G647" s="2">
        <v>7</v>
      </c>
      <c r="H647" s="2">
        <v>20</v>
      </c>
      <c r="I647" s="2">
        <v>25</v>
      </c>
      <c r="J647" t="str">
        <f>_xlfn.XLOOKUP(Table2[[#This Row],[Customer_ID]],Table1[Customer_ID],Table1[Customer_Name])</f>
        <v>Lynnette Loyola</v>
      </c>
    </row>
    <row r="648" spans="1:10" x14ac:dyDescent="0.35">
      <c r="A648" s="4">
        <v>40889</v>
      </c>
      <c r="B648" s="2">
        <v>10736</v>
      </c>
      <c r="C648" s="2">
        <v>404</v>
      </c>
      <c r="D648" s="2">
        <v>89</v>
      </c>
      <c r="F648" s="2">
        <v>1</v>
      </c>
      <c r="G648" s="2">
        <v>7</v>
      </c>
      <c r="H648" s="2">
        <v>20</v>
      </c>
      <c r="I648" s="2">
        <v>25</v>
      </c>
      <c r="J648" t="str">
        <f>_xlfn.XLOOKUP(Table2[[#This Row],[Customer_ID]],Table1[Customer_ID],Table1[Customer_Name])</f>
        <v>Masako Moler</v>
      </c>
    </row>
    <row r="649" spans="1:10" x14ac:dyDescent="0.35">
      <c r="A649" s="4">
        <v>40889</v>
      </c>
      <c r="B649" s="2">
        <v>10736</v>
      </c>
      <c r="C649" s="2">
        <v>412</v>
      </c>
      <c r="D649" s="2">
        <v>89</v>
      </c>
      <c r="F649" s="2">
        <v>1</v>
      </c>
      <c r="G649" s="2">
        <v>7</v>
      </c>
      <c r="H649" s="2">
        <v>20</v>
      </c>
      <c r="I649" s="2">
        <v>25</v>
      </c>
      <c r="J649" t="str">
        <f>_xlfn.XLOOKUP(Table2[[#This Row],[Customer_ID]],Table1[Customer_ID],Table1[Customer_Name])</f>
        <v>Masako Moler</v>
      </c>
    </row>
    <row r="650" spans="1:10" x14ac:dyDescent="0.35">
      <c r="A650" s="4">
        <v>40890</v>
      </c>
      <c r="B650" s="2">
        <v>10738</v>
      </c>
      <c r="C650" s="2">
        <v>39</v>
      </c>
      <c r="D650" s="2">
        <v>91</v>
      </c>
      <c r="F650" s="2">
        <v>1</v>
      </c>
      <c r="G650" s="2">
        <v>2</v>
      </c>
      <c r="H650" s="2">
        <v>21</v>
      </c>
      <c r="I650" s="2">
        <v>25</v>
      </c>
      <c r="J650" t="str">
        <f>_xlfn.XLOOKUP(Table2[[#This Row],[Customer_ID]],Table1[Customer_ID],Table1[Customer_Name])</f>
        <v>Maybelle Bolt</v>
      </c>
    </row>
    <row r="651" spans="1:10" x14ac:dyDescent="0.35">
      <c r="A651" s="4">
        <v>40891</v>
      </c>
      <c r="B651" s="2">
        <v>10740</v>
      </c>
      <c r="C651" s="2">
        <v>160</v>
      </c>
      <c r="D651" s="2">
        <v>93</v>
      </c>
      <c r="F651" s="2">
        <v>1</v>
      </c>
      <c r="G651" s="2">
        <v>5</v>
      </c>
      <c r="H651" s="2">
        <v>1420</v>
      </c>
      <c r="I651" s="2">
        <v>25</v>
      </c>
      <c r="J651" t="str">
        <f>_xlfn.XLOOKUP(Table2[[#This Row],[Customer_ID]],Table1[Customer_ID],Table1[Customer_Name])</f>
        <v>Mervin Chiodo</v>
      </c>
    </row>
    <row r="652" spans="1:10" x14ac:dyDescent="0.35">
      <c r="A652" s="4">
        <v>40891</v>
      </c>
      <c r="B652" s="2">
        <v>10740</v>
      </c>
      <c r="C652" s="2">
        <v>156</v>
      </c>
      <c r="D652" s="2">
        <v>93</v>
      </c>
      <c r="F652" s="2">
        <v>1</v>
      </c>
      <c r="G652" s="2">
        <v>4</v>
      </c>
      <c r="H652" s="2">
        <v>726</v>
      </c>
      <c r="I652" s="2">
        <v>25</v>
      </c>
      <c r="J652" t="str">
        <f>_xlfn.XLOOKUP(Table2[[#This Row],[Customer_ID]],Table1[Customer_ID],Table1[Customer_Name])</f>
        <v>Mervin Chiodo</v>
      </c>
    </row>
    <row r="653" spans="1:10" x14ac:dyDescent="0.35">
      <c r="A653" s="4">
        <v>40891</v>
      </c>
      <c r="B653" s="2">
        <v>10740</v>
      </c>
      <c r="C653" s="2">
        <v>56</v>
      </c>
      <c r="D653" s="2">
        <v>93</v>
      </c>
      <c r="F653" s="2">
        <v>1</v>
      </c>
      <c r="G653" s="2">
        <v>2</v>
      </c>
      <c r="H653" s="2">
        <v>19</v>
      </c>
      <c r="I653" s="2">
        <v>25</v>
      </c>
      <c r="J653" t="str">
        <f>_xlfn.XLOOKUP(Table2[[#This Row],[Customer_ID]],Table1[Customer_ID],Table1[Customer_Name])</f>
        <v>Mervin Chiodo</v>
      </c>
    </row>
    <row r="654" spans="1:10" x14ac:dyDescent="0.35">
      <c r="A654" s="4">
        <v>40891</v>
      </c>
      <c r="B654" s="2">
        <v>10740</v>
      </c>
      <c r="C654" s="2">
        <v>159</v>
      </c>
      <c r="D654" s="2">
        <v>93</v>
      </c>
      <c r="F654" s="2">
        <v>1</v>
      </c>
      <c r="G654" s="2">
        <v>4</v>
      </c>
      <c r="H654" s="2">
        <v>1104</v>
      </c>
      <c r="I654" s="2">
        <v>25</v>
      </c>
      <c r="J654" t="str">
        <f>_xlfn.XLOOKUP(Table2[[#This Row],[Customer_ID]],Table1[Customer_ID],Table1[Customer_Name])</f>
        <v>Mervin Chiodo</v>
      </c>
    </row>
    <row r="655" spans="1:10" x14ac:dyDescent="0.35">
      <c r="A655" s="4">
        <v>40892</v>
      </c>
      <c r="B655" s="2">
        <v>10742</v>
      </c>
      <c r="C655" s="2">
        <v>139</v>
      </c>
      <c r="D655" s="2">
        <v>95</v>
      </c>
      <c r="F655" s="2">
        <v>1</v>
      </c>
      <c r="G655" s="2">
        <v>6</v>
      </c>
      <c r="H655" s="2">
        <v>232</v>
      </c>
      <c r="I655" s="2">
        <v>25</v>
      </c>
      <c r="J655" t="str">
        <f>_xlfn.XLOOKUP(Table2[[#This Row],[Customer_ID]],Table1[Customer_ID],Table1[Customer_Name])</f>
        <v>Michelle Madonia</v>
      </c>
    </row>
    <row r="656" spans="1:10" x14ac:dyDescent="0.35">
      <c r="A656" s="4">
        <v>40892</v>
      </c>
      <c r="B656" s="2">
        <v>10742</v>
      </c>
      <c r="C656" s="2">
        <v>144</v>
      </c>
      <c r="D656" s="2">
        <v>95</v>
      </c>
      <c r="F656" s="2">
        <v>1</v>
      </c>
      <c r="G656" s="2">
        <v>5</v>
      </c>
      <c r="H656" s="2">
        <v>81</v>
      </c>
      <c r="I656" s="2">
        <v>25</v>
      </c>
      <c r="J656" t="str">
        <f>_xlfn.XLOOKUP(Table2[[#This Row],[Customer_ID]],Table1[Customer_ID],Table1[Customer_Name])</f>
        <v>Michelle Madonia</v>
      </c>
    </row>
    <row r="657" spans="1:10" x14ac:dyDescent="0.35">
      <c r="A657" s="4">
        <v>40892</v>
      </c>
      <c r="B657" s="2">
        <v>10742</v>
      </c>
      <c r="C657" s="2">
        <v>146</v>
      </c>
      <c r="D657" s="2">
        <v>95</v>
      </c>
      <c r="F657" s="2">
        <v>1</v>
      </c>
      <c r="G657" s="2">
        <v>1</v>
      </c>
      <c r="H657" s="2">
        <v>433</v>
      </c>
      <c r="I657" s="2">
        <v>25</v>
      </c>
      <c r="J657" t="str">
        <f>_xlfn.XLOOKUP(Table2[[#This Row],[Customer_ID]],Table1[Customer_ID],Table1[Customer_Name])</f>
        <v>Michelle Madonia</v>
      </c>
    </row>
    <row r="658" spans="1:10" x14ac:dyDescent="0.35">
      <c r="A658" s="4">
        <v>40895</v>
      </c>
      <c r="B658" s="2">
        <v>10744</v>
      </c>
      <c r="C658" s="2">
        <v>140</v>
      </c>
      <c r="D658" s="2">
        <v>97</v>
      </c>
      <c r="F658" s="2">
        <v>1</v>
      </c>
      <c r="G658" s="2">
        <v>8</v>
      </c>
      <c r="H658" s="2">
        <v>95</v>
      </c>
      <c r="I658" s="2">
        <v>25</v>
      </c>
      <c r="J658" t="str">
        <f>_xlfn.XLOOKUP(Table2[[#This Row],[Customer_ID]],Table1[Customer_ID],Table1[Customer_Name])</f>
        <v>Mitchell Doughtie</v>
      </c>
    </row>
    <row r="659" spans="1:10" x14ac:dyDescent="0.35">
      <c r="A659" s="4">
        <v>40897</v>
      </c>
      <c r="B659" s="2">
        <v>10746</v>
      </c>
      <c r="C659" s="2">
        <v>166</v>
      </c>
      <c r="D659" s="2">
        <v>99</v>
      </c>
      <c r="F659" s="2">
        <v>1</v>
      </c>
      <c r="G659" s="2">
        <v>1</v>
      </c>
      <c r="H659" s="2">
        <v>332</v>
      </c>
      <c r="I659" s="2">
        <v>25</v>
      </c>
      <c r="J659" t="str">
        <f>_xlfn.XLOOKUP(Table2[[#This Row],[Customer_ID]],Table1[Customer_ID],Table1[Customer_Name])</f>
        <v>Nana Nolette</v>
      </c>
    </row>
    <row r="660" spans="1:10" x14ac:dyDescent="0.35">
      <c r="A660" s="4">
        <v>40897</v>
      </c>
      <c r="B660" s="2">
        <v>10746</v>
      </c>
      <c r="C660" s="2">
        <v>88</v>
      </c>
      <c r="D660" s="2">
        <v>99</v>
      </c>
      <c r="F660" s="2">
        <v>1</v>
      </c>
      <c r="G660" s="2">
        <v>1</v>
      </c>
      <c r="H660" s="2">
        <v>16</v>
      </c>
      <c r="I660" s="2">
        <v>25</v>
      </c>
      <c r="J660" t="str">
        <f>_xlfn.XLOOKUP(Table2[[#This Row],[Customer_ID]],Table1[Customer_ID],Table1[Customer_Name])</f>
        <v>Nana Nolette</v>
      </c>
    </row>
    <row r="661" spans="1:10" x14ac:dyDescent="0.35">
      <c r="A661" s="4">
        <v>40897</v>
      </c>
      <c r="B661" s="2">
        <v>10746</v>
      </c>
      <c r="C661" s="2">
        <v>176</v>
      </c>
      <c r="D661" s="2">
        <v>99</v>
      </c>
      <c r="F661" s="2">
        <v>1</v>
      </c>
      <c r="G661" s="2">
        <v>5</v>
      </c>
      <c r="H661" s="2">
        <v>329</v>
      </c>
      <c r="I661" s="2">
        <v>25</v>
      </c>
      <c r="J661" t="str">
        <f>_xlfn.XLOOKUP(Table2[[#This Row],[Customer_ID]],Table1[Customer_ID],Table1[Customer_Name])</f>
        <v>Nana Nolette</v>
      </c>
    </row>
    <row r="662" spans="1:10" x14ac:dyDescent="0.35">
      <c r="A662" s="4">
        <v>40897</v>
      </c>
      <c r="B662" s="2">
        <v>10746</v>
      </c>
      <c r="C662" s="2">
        <v>170</v>
      </c>
      <c r="D662" s="2">
        <v>99</v>
      </c>
      <c r="F662" s="2">
        <v>1</v>
      </c>
      <c r="G662" s="2">
        <v>2</v>
      </c>
      <c r="H662" s="2">
        <v>656</v>
      </c>
      <c r="I662" s="2">
        <v>25</v>
      </c>
      <c r="J662" t="str">
        <f>_xlfn.XLOOKUP(Table2[[#This Row],[Customer_ID]],Table1[Customer_ID],Table1[Customer_Name])</f>
        <v>Nana Nolette</v>
      </c>
    </row>
    <row r="663" spans="1:10" x14ac:dyDescent="0.35">
      <c r="A663" s="4">
        <v>40898</v>
      </c>
      <c r="B663" s="2">
        <v>10748</v>
      </c>
      <c r="C663" s="2">
        <v>354</v>
      </c>
      <c r="D663" s="2">
        <v>1</v>
      </c>
      <c r="E663" s="2">
        <v>94</v>
      </c>
      <c r="F663" s="2">
        <v>1</v>
      </c>
      <c r="G663" s="2">
        <v>3</v>
      </c>
      <c r="H663" s="2">
        <v>45</v>
      </c>
      <c r="I663" s="2">
        <v>25</v>
      </c>
      <c r="J663" t="str">
        <f>_xlfn.XLOOKUP(Table2[[#This Row],[Customer_ID]],Table1[Customer_ID],Table1[Customer_Name])</f>
        <v>Agatha Clauss</v>
      </c>
    </row>
    <row r="664" spans="1:10" x14ac:dyDescent="0.35">
      <c r="A664" s="4">
        <v>40898</v>
      </c>
      <c r="B664" s="2">
        <v>10748</v>
      </c>
      <c r="C664" s="2">
        <v>210</v>
      </c>
      <c r="D664" s="2">
        <v>1</v>
      </c>
      <c r="E664" s="2">
        <v>94</v>
      </c>
      <c r="F664" s="2">
        <v>1</v>
      </c>
      <c r="G664" s="2">
        <v>1</v>
      </c>
      <c r="H664" s="2">
        <v>6</v>
      </c>
      <c r="I664" s="2">
        <v>25</v>
      </c>
      <c r="J664" t="str">
        <f>_xlfn.XLOOKUP(Table2[[#This Row],[Customer_ID]],Table1[Customer_ID],Table1[Customer_Name])</f>
        <v>Agatha Clauss</v>
      </c>
    </row>
    <row r="665" spans="1:10" x14ac:dyDescent="0.35">
      <c r="A665" s="4">
        <v>40898</v>
      </c>
      <c r="B665" s="2">
        <v>10748</v>
      </c>
      <c r="C665" s="2">
        <v>206</v>
      </c>
      <c r="D665" s="2">
        <v>1</v>
      </c>
      <c r="E665" s="2">
        <v>94</v>
      </c>
      <c r="F665" s="2">
        <v>1</v>
      </c>
      <c r="G665" s="2">
        <v>1</v>
      </c>
      <c r="H665" s="2">
        <v>6</v>
      </c>
      <c r="I665" s="2">
        <v>25</v>
      </c>
      <c r="J665" t="str">
        <f>_xlfn.XLOOKUP(Table2[[#This Row],[Customer_ID]],Table1[Customer_ID],Table1[Customer_Name])</f>
        <v>Agatha Clauss</v>
      </c>
    </row>
    <row r="666" spans="1:10" x14ac:dyDescent="0.35">
      <c r="A666" s="4">
        <v>40899</v>
      </c>
      <c r="B666" s="2">
        <v>10750</v>
      </c>
      <c r="C666" s="2">
        <v>330</v>
      </c>
      <c r="D666" s="2">
        <v>3</v>
      </c>
      <c r="E666" s="2">
        <v>41</v>
      </c>
      <c r="F666" s="2">
        <v>1</v>
      </c>
      <c r="G666" s="2">
        <v>3</v>
      </c>
      <c r="H666" s="2">
        <v>23</v>
      </c>
      <c r="I666" s="2">
        <v>25</v>
      </c>
      <c r="J666" t="str">
        <f>_xlfn.XLOOKUP(Table2[[#This Row],[Customer_ID]],Table1[Customer_ID],Table1[Customer_Name])</f>
        <v>Alonzo Stoltz</v>
      </c>
    </row>
    <row r="667" spans="1:10" x14ac:dyDescent="0.35">
      <c r="A667" s="4">
        <v>40899</v>
      </c>
      <c r="B667" s="2">
        <v>10750</v>
      </c>
      <c r="C667" s="2">
        <v>222</v>
      </c>
      <c r="D667" s="2">
        <v>3</v>
      </c>
      <c r="E667" s="2">
        <v>41</v>
      </c>
      <c r="F667" s="2">
        <v>1</v>
      </c>
      <c r="G667" s="2">
        <v>7</v>
      </c>
      <c r="H667" s="2">
        <v>4</v>
      </c>
      <c r="I667" s="2">
        <v>25</v>
      </c>
      <c r="J667" t="str">
        <f>_xlfn.XLOOKUP(Table2[[#This Row],[Customer_ID]],Table1[Customer_ID],Table1[Customer_Name])</f>
        <v>Alonzo Stoltz</v>
      </c>
    </row>
    <row r="668" spans="1:10" x14ac:dyDescent="0.35">
      <c r="A668" s="4">
        <v>40899</v>
      </c>
      <c r="B668" s="2">
        <v>10750</v>
      </c>
      <c r="C668" s="2">
        <v>332</v>
      </c>
      <c r="D668" s="2">
        <v>3</v>
      </c>
      <c r="E668" s="2">
        <v>41</v>
      </c>
      <c r="F668" s="2">
        <v>1</v>
      </c>
      <c r="G668" s="2">
        <v>4</v>
      </c>
      <c r="H668" s="2">
        <v>78</v>
      </c>
      <c r="I668" s="2">
        <v>25</v>
      </c>
      <c r="J668" t="str">
        <f>_xlfn.XLOOKUP(Table2[[#This Row],[Customer_ID]],Table1[Customer_ID],Table1[Customer_Name])</f>
        <v>Alonzo Stoltz</v>
      </c>
    </row>
    <row r="669" spans="1:10" x14ac:dyDescent="0.35">
      <c r="A669" s="4">
        <v>40902</v>
      </c>
      <c r="B669" s="2">
        <v>10752</v>
      </c>
      <c r="C669" s="2">
        <v>283</v>
      </c>
      <c r="D669" s="2">
        <v>5</v>
      </c>
      <c r="E669" s="2">
        <v>27</v>
      </c>
      <c r="F669" s="2">
        <v>1</v>
      </c>
      <c r="G669" s="2">
        <v>1</v>
      </c>
      <c r="H669" s="2">
        <v>6</v>
      </c>
      <c r="I669" s="2">
        <v>25</v>
      </c>
      <c r="J669" t="str">
        <f>_xlfn.XLOOKUP(Table2[[#This Row],[Customer_ID]],Table1[Customer_ID],Table1[Customer_Name])</f>
        <v>Anette Abdulla</v>
      </c>
    </row>
    <row r="670" spans="1:10" x14ac:dyDescent="0.35">
      <c r="A670" s="4">
        <v>40902</v>
      </c>
      <c r="B670" s="2">
        <v>10752</v>
      </c>
      <c r="C670" s="2">
        <v>241</v>
      </c>
      <c r="D670" s="2">
        <v>5</v>
      </c>
      <c r="E670" s="2">
        <v>27</v>
      </c>
      <c r="F670" s="2">
        <v>1</v>
      </c>
      <c r="G670" s="2">
        <v>1</v>
      </c>
      <c r="H670" s="2">
        <v>61</v>
      </c>
      <c r="I670" s="2">
        <v>25</v>
      </c>
      <c r="J670" t="str">
        <f>_xlfn.XLOOKUP(Table2[[#This Row],[Customer_ID]],Table1[Customer_ID],Table1[Customer_Name])</f>
        <v>Anette Abdulla</v>
      </c>
    </row>
    <row r="671" spans="1:10" x14ac:dyDescent="0.35">
      <c r="A671" s="4">
        <v>40903</v>
      </c>
      <c r="B671" s="2">
        <v>10754</v>
      </c>
      <c r="C671" s="2">
        <v>78</v>
      </c>
      <c r="D671" s="2">
        <v>7</v>
      </c>
      <c r="E671" s="2">
        <v>32</v>
      </c>
      <c r="F671" s="2">
        <v>1</v>
      </c>
      <c r="G671" s="2">
        <v>5</v>
      </c>
      <c r="H671" s="2">
        <v>14</v>
      </c>
      <c r="I671" s="2">
        <v>25</v>
      </c>
      <c r="J671" t="str">
        <f>_xlfn.XLOOKUP(Table2[[#This Row],[Customer_ID]],Table1[Customer_ID],Table1[Customer_Name])</f>
        <v>Ardath Peaslee</v>
      </c>
    </row>
    <row r="672" spans="1:10" x14ac:dyDescent="0.35">
      <c r="A672" s="4">
        <v>40905</v>
      </c>
      <c r="B672" s="2">
        <v>10756</v>
      </c>
      <c r="C672" s="2">
        <v>341</v>
      </c>
      <c r="D672" s="2">
        <v>9</v>
      </c>
      <c r="E672" s="2">
        <v>97</v>
      </c>
      <c r="F672" s="2">
        <v>1</v>
      </c>
      <c r="G672" s="2">
        <v>3</v>
      </c>
      <c r="H672" s="2">
        <v>3</v>
      </c>
      <c r="I672" s="2">
        <v>25</v>
      </c>
      <c r="J672" t="str">
        <f>_xlfn.XLOOKUP(Table2[[#This Row],[Customer_ID]],Table1[Customer_ID],Table1[Customer_Name])</f>
        <v>Bernarda Caughey</v>
      </c>
    </row>
    <row r="673" spans="1:10" x14ac:dyDescent="0.35">
      <c r="A673" s="4">
        <v>40905</v>
      </c>
      <c r="B673" s="2">
        <v>10756</v>
      </c>
      <c r="C673" s="2">
        <v>259</v>
      </c>
      <c r="D673" s="2">
        <v>9</v>
      </c>
      <c r="E673" s="2">
        <v>97</v>
      </c>
      <c r="F673" s="2">
        <v>1</v>
      </c>
      <c r="G673" s="2">
        <v>7</v>
      </c>
      <c r="H673" s="2">
        <v>22</v>
      </c>
      <c r="I673" s="2">
        <v>25</v>
      </c>
      <c r="J673" t="str">
        <f>_xlfn.XLOOKUP(Table2[[#This Row],[Customer_ID]],Table1[Customer_ID],Table1[Customer_Name])</f>
        <v>Bernarda Caughey</v>
      </c>
    </row>
    <row r="674" spans="1:10" x14ac:dyDescent="0.35">
      <c r="A674" s="4">
        <v>40905</v>
      </c>
      <c r="B674" s="2">
        <v>10756</v>
      </c>
      <c r="C674" s="2">
        <v>358</v>
      </c>
      <c r="D674" s="2">
        <v>9</v>
      </c>
      <c r="E674" s="2">
        <v>97</v>
      </c>
      <c r="F674" s="2">
        <v>1</v>
      </c>
      <c r="G674" s="2">
        <v>3</v>
      </c>
      <c r="H674" s="2">
        <v>26</v>
      </c>
      <c r="I674" s="2">
        <v>25</v>
      </c>
      <c r="J674" t="str">
        <f>_xlfn.XLOOKUP(Table2[[#This Row],[Customer_ID]],Table1[Customer_ID],Table1[Customer_Name])</f>
        <v>Bernarda Caughey</v>
      </c>
    </row>
    <row r="675" spans="1:10" x14ac:dyDescent="0.35">
      <c r="A675" s="4">
        <v>40905</v>
      </c>
      <c r="B675" s="2">
        <v>10756</v>
      </c>
      <c r="C675" s="2">
        <v>344</v>
      </c>
      <c r="D675" s="2">
        <v>9</v>
      </c>
      <c r="E675" s="2">
        <v>97</v>
      </c>
      <c r="F675" s="2">
        <v>1</v>
      </c>
      <c r="G675" s="2">
        <v>7</v>
      </c>
      <c r="H675" s="2">
        <v>4</v>
      </c>
      <c r="I675" s="2">
        <v>25</v>
      </c>
      <c r="J675" t="str">
        <f>_xlfn.XLOOKUP(Table2[[#This Row],[Customer_ID]],Table1[Customer_ID],Table1[Customer_Name])</f>
        <v>Bernarda Caughey</v>
      </c>
    </row>
    <row r="676" spans="1:10" x14ac:dyDescent="0.35">
      <c r="A676" s="4">
        <v>40906</v>
      </c>
      <c r="B676" s="2">
        <v>10758</v>
      </c>
      <c r="C676" s="2">
        <v>312</v>
      </c>
      <c r="D676" s="2">
        <v>11</v>
      </c>
      <c r="E676" s="2">
        <v>77</v>
      </c>
      <c r="F676" s="2">
        <v>1</v>
      </c>
      <c r="G676" s="2">
        <v>3</v>
      </c>
      <c r="H676" s="2">
        <v>9</v>
      </c>
      <c r="I676" s="2">
        <v>25</v>
      </c>
      <c r="J676" t="str">
        <f>_xlfn.XLOOKUP(Table2[[#This Row],[Customer_ID]],Table1[Customer_ID],Table1[Customer_Name])</f>
        <v>Bonita Honaker</v>
      </c>
    </row>
    <row r="677" spans="1:10" x14ac:dyDescent="0.35">
      <c r="A677" s="4">
        <v>40906</v>
      </c>
      <c r="B677" s="2">
        <v>10758</v>
      </c>
      <c r="C677" s="2">
        <v>245</v>
      </c>
      <c r="D677" s="2">
        <v>11</v>
      </c>
      <c r="E677" s="2">
        <v>77</v>
      </c>
      <c r="F677" s="2">
        <v>1</v>
      </c>
      <c r="G677" s="2">
        <v>3</v>
      </c>
      <c r="H677" s="2">
        <v>2</v>
      </c>
      <c r="I677" s="2">
        <v>25</v>
      </c>
      <c r="J677" t="str">
        <f>_xlfn.XLOOKUP(Table2[[#This Row],[Customer_ID]],Table1[Customer_ID],Table1[Customer_Name])</f>
        <v>Bonita Honaker</v>
      </c>
    </row>
    <row r="678" spans="1:10" x14ac:dyDescent="0.35">
      <c r="A678" s="4">
        <v>40906</v>
      </c>
      <c r="B678" s="2">
        <v>10758</v>
      </c>
      <c r="C678" s="2">
        <v>248</v>
      </c>
      <c r="D678" s="2">
        <v>11</v>
      </c>
      <c r="E678" s="2">
        <v>77</v>
      </c>
      <c r="F678" s="2">
        <v>1</v>
      </c>
      <c r="G678" s="2">
        <v>2</v>
      </c>
      <c r="H678" s="2">
        <v>4</v>
      </c>
      <c r="I678" s="2">
        <v>25</v>
      </c>
      <c r="J678" t="str">
        <f>_xlfn.XLOOKUP(Table2[[#This Row],[Customer_ID]],Table1[Customer_ID],Table1[Customer_Name])</f>
        <v>Bonita Honaker</v>
      </c>
    </row>
    <row r="679" spans="1:10" x14ac:dyDescent="0.35">
      <c r="A679" s="4">
        <v>40909</v>
      </c>
      <c r="B679" s="2">
        <v>10760</v>
      </c>
      <c r="C679" s="2">
        <v>258</v>
      </c>
      <c r="D679" s="2">
        <v>13</v>
      </c>
      <c r="E679" s="2">
        <v>30</v>
      </c>
      <c r="F679" s="2">
        <v>1</v>
      </c>
      <c r="G679" s="2">
        <v>3</v>
      </c>
      <c r="H679" s="2">
        <v>10</v>
      </c>
      <c r="I679" s="2">
        <v>25</v>
      </c>
      <c r="J679" t="str">
        <f>_xlfn.XLOOKUP(Table2[[#This Row],[Customer_ID]],Table1[Customer_ID],Table1[Customer_Name])</f>
        <v>Bryant Ertel</v>
      </c>
    </row>
    <row r="680" spans="1:10" x14ac:dyDescent="0.35">
      <c r="A680" s="4">
        <v>40909</v>
      </c>
      <c r="B680" s="2">
        <v>10760</v>
      </c>
      <c r="C680" s="2">
        <v>219</v>
      </c>
      <c r="D680" s="2">
        <v>13</v>
      </c>
      <c r="E680" s="2">
        <v>30</v>
      </c>
      <c r="F680" s="2">
        <v>1</v>
      </c>
      <c r="G680" s="2">
        <v>8</v>
      </c>
      <c r="H680" s="2">
        <v>5</v>
      </c>
      <c r="I680" s="2">
        <v>25</v>
      </c>
      <c r="J680" t="str">
        <f>_xlfn.XLOOKUP(Table2[[#This Row],[Customer_ID]],Table1[Customer_ID],Table1[Customer_Name])</f>
        <v>Bryant Ertel</v>
      </c>
    </row>
    <row r="681" spans="1:10" x14ac:dyDescent="0.35">
      <c r="A681" s="4">
        <v>40909</v>
      </c>
      <c r="B681" s="2">
        <v>10760</v>
      </c>
      <c r="C681" s="2">
        <v>372</v>
      </c>
      <c r="D681" s="2">
        <v>13</v>
      </c>
      <c r="E681" s="2">
        <v>30</v>
      </c>
      <c r="F681" s="2">
        <v>1</v>
      </c>
      <c r="G681" s="2">
        <v>3</v>
      </c>
      <c r="H681" s="2">
        <v>9</v>
      </c>
      <c r="I681" s="2">
        <v>25</v>
      </c>
      <c r="J681" t="str">
        <f>_xlfn.XLOOKUP(Table2[[#This Row],[Customer_ID]],Table1[Customer_ID],Table1[Customer_Name])</f>
        <v>Bryant Ertel</v>
      </c>
    </row>
    <row r="682" spans="1:10" x14ac:dyDescent="0.35">
      <c r="A682" s="4">
        <v>40910</v>
      </c>
      <c r="B682" s="2">
        <v>10762</v>
      </c>
      <c r="C682" s="2">
        <v>390</v>
      </c>
      <c r="D682" s="2">
        <v>15</v>
      </c>
      <c r="E682" s="2">
        <v>12</v>
      </c>
      <c r="F682" s="2">
        <v>1</v>
      </c>
      <c r="G682" s="2">
        <v>2</v>
      </c>
      <c r="H682" s="2">
        <v>11</v>
      </c>
      <c r="I682" s="2">
        <v>25</v>
      </c>
      <c r="J682" t="str">
        <f>_xlfn.XLOOKUP(Table2[[#This Row],[Customer_ID]],Table1[Customer_ID],Table1[Customer_Name])</f>
        <v>Caryn Conry</v>
      </c>
    </row>
    <row r="683" spans="1:10" x14ac:dyDescent="0.35">
      <c r="A683" s="4">
        <v>40910</v>
      </c>
      <c r="B683" s="2">
        <v>10762</v>
      </c>
      <c r="C683" s="2">
        <v>395</v>
      </c>
      <c r="D683" s="2">
        <v>15</v>
      </c>
      <c r="E683" s="2">
        <v>12</v>
      </c>
      <c r="F683" s="2">
        <v>1</v>
      </c>
      <c r="G683" s="2">
        <v>5</v>
      </c>
      <c r="H683" s="2">
        <v>14</v>
      </c>
      <c r="I683" s="2">
        <v>25</v>
      </c>
      <c r="J683" t="str">
        <f>_xlfn.XLOOKUP(Table2[[#This Row],[Customer_ID]],Table1[Customer_ID],Table1[Customer_Name])</f>
        <v>Caryn Conry</v>
      </c>
    </row>
    <row r="684" spans="1:10" x14ac:dyDescent="0.35">
      <c r="A684" s="4">
        <v>40910</v>
      </c>
      <c r="B684" s="2">
        <v>10762</v>
      </c>
      <c r="C684" s="2">
        <v>249</v>
      </c>
      <c r="D684" s="2">
        <v>15</v>
      </c>
      <c r="E684" s="2">
        <v>12</v>
      </c>
      <c r="F684" s="2">
        <v>1</v>
      </c>
      <c r="G684" s="2">
        <v>2</v>
      </c>
      <c r="H684" s="2">
        <v>4</v>
      </c>
      <c r="I684" s="2">
        <v>25</v>
      </c>
      <c r="J684" t="str">
        <f>_xlfn.XLOOKUP(Table2[[#This Row],[Customer_ID]],Table1[Customer_ID],Table1[Customer_Name])</f>
        <v>Caryn Conry</v>
      </c>
    </row>
    <row r="685" spans="1:10" x14ac:dyDescent="0.35">
      <c r="A685" s="4">
        <v>40910</v>
      </c>
      <c r="B685" s="2">
        <v>10762</v>
      </c>
      <c r="C685" s="2">
        <v>389</v>
      </c>
      <c r="D685" s="2">
        <v>15</v>
      </c>
      <c r="E685" s="2">
        <v>12</v>
      </c>
      <c r="F685" s="2">
        <v>1</v>
      </c>
      <c r="G685" s="2">
        <v>1</v>
      </c>
      <c r="H685" s="2">
        <v>8</v>
      </c>
      <c r="I685" s="2">
        <v>25</v>
      </c>
      <c r="J685" t="str">
        <f>_xlfn.XLOOKUP(Table2[[#This Row],[Customer_ID]],Table1[Customer_ID],Table1[Customer_Name])</f>
        <v>Caryn Conry</v>
      </c>
    </row>
    <row r="686" spans="1:10" x14ac:dyDescent="0.35">
      <c r="A686" s="4">
        <v>40911</v>
      </c>
      <c r="B686" s="2">
        <v>10764</v>
      </c>
      <c r="C686" s="2">
        <v>441</v>
      </c>
      <c r="D686" s="2">
        <v>17</v>
      </c>
      <c r="E686" s="2">
        <v>21</v>
      </c>
      <c r="F686" s="2">
        <v>1</v>
      </c>
      <c r="G686" s="2">
        <v>4</v>
      </c>
      <c r="H686" s="2">
        <v>29</v>
      </c>
      <c r="I686" s="2">
        <v>25</v>
      </c>
      <c r="J686" t="str">
        <f>_xlfn.XLOOKUP(Table2[[#This Row],[Customer_ID]],Table1[Customer_ID],Table1[Customer_Name])</f>
        <v>Cecelia Beeler</v>
      </c>
    </row>
    <row r="687" spans="1:10" x14ac:dyDescent="0.35">
      <c r="A687" s="4">
        <v>40911</v>
      </c>
      <c r="B687" s="2">
        <v>10764</v>
      </c>
      <c r="C687" s="2">
        <v>444</v>
      </c>
      <c r="D687" s="2">
        <v>17</v>
      </c>
      <c r="E687" s="2">
        <v>21</v>
      </c>
      <c r="F687" s="2">
        <v>1</v>
      </c>
      <c r="G687" s="2">
        <v>2</v>
      </c>
      <c r="H687" s="2">
        <v>35</v>
      </c>
      <c r="I687" s="2">
        <v>25</v>
      </c>
      <c r="J687" t="str">
        <f>_xlfn.XLOOKUP(Table2[[#This Row],[Customer_ID]],Table1[Customer_ID],Table1[Customer_Name])</f>
        <v>Cecelia Beeler</v>
      </c>
    </row>
    <row r="688" spans="1:10" x14ac:dyDescent="0.35">
      <c r="A688" s="4">
        <v>40913</v>
      </c>
      <c r="B688" s="2">
        <v>10766</v>
      </c>
      <c r="C688" s="2">
        <v>457</v>
      </c>
      <c r="D688" s="2">
        <v>19</v>
      </c>
      <c r="E688" s="2">
        <v>58</v>
      </c>
      <c r="F688" s="2">
        <v>1</v>
      </c>
      <c r="G688" s="2">
        <v>1</v>
      </c>
      <c r="H688" s="2">
        <v>19</v>
      </c>
      <c r="I688" s="2">
        <v>25</v>
      </c>
      <c r="J688" t="str">
        <f>_xlfn.XLOOKUP(Table2[[#This Row],[Customer_ID]],Table1[Customer_ID],Table1[Customer_Name])</f>
        <v>Charlyn Sanroman</v>
      </c>
    </row>
    <row r="689" spans="1:10" x14ac:dyDescent="0.35">
      <c r="A689" s="4">
        <v>40913</v>
      </c>
      <c r="B689" s="2">
        <v>10766</v>
      </c>
      <c r="C689" s="2">
        <v>446</v>
      </c>
      <c r="D689" s="2">
        <v>19</v>
      </c>
      <c r="E689" s="2">
        <v>58</v>
      </c>
      <c r="F689" s="2">
        <v>1</v>
      </c>
      <c r="G689" s="2">
        <v>1</v>
      </c>
      <c r="H689" s="2">
        <v>40</v>
      </c>
      <c r="I689" s="2">
        <v>25</v>
      </c>
      <c r="J689" t="str">
        <f>_xlfn.XLOOKUP(Table2[[#This Row],[Customer_ID]],Table1[Customer_ID],Table1[Customer_Name])</f>
        <v>Charlyn Sanroman</v>
      </c>
    </row>
    <row r="690" spans="1:10" x14ac:dyDescent="0.35">
      <c r="A690" s="4">
        <v>40913</v>
      </c>
      <c r="B690" s="2">
        <v>10766</v>
      </c>
      <c r="C690" s="2">
        <v>432</v>
      </c>
      <c r="D690" s="2">
        <v>19</v>
      </c>
      <c r="E690" s="2">
        <v>58</v>
      </c>
      <c r="F690" s="2">
        <v>1</v>
      </c>
      <c r="G690" s="2">
        <v>5</v>
      </c>
      <c r="H690" s="2">
        <v>50</v>
      </c>
      <c r="I690" s="2">
        <v>25</v>
      </c>
      <c r="J690" t="str">
        <f>_xlfn.XLOOKUP(Table2[[#This Row],[Customer_ID]],Table1[Customer_ID],Table1[Customer_Name])</f>
        <v>Charlyn Sanroman</v>
      </c>
    </row>
    <row r="691" spans="1:10" x14ac:dyDescent="0.35">
      <c r="A691" s="4">
        <v>40916</v>
      </c>
      <c r="B691" s="2">
        <v>10768</v>
      </c>
      <c r="C691" s="2">
        <v>38</v>
      </c>
      <c r="D691" s="2">
        <v>21</v>
      </c>
      <c r="E691" s="2">
        <v>61</v>
      </c>
      <c r="F691" s="2">
        <v>1</v>
      </c>
      <c r="G691" s="2">
        <v>5</v>
      </c>
      <c r="H691" s="2">
        <v>8</v>
      </c>
      <c r="I691" s="2">
        <v>25</v>
      </c>
      <c r="J691" t="str">
        <f>_xlfn.XLOOKUP(Table2[[#This Row],[Customer_ID]],Table1[Customer_ID],Table1[Customer_Name])</f>
        <v>Clemencia Gwyn</v>
      </c>
    </row>
    <row r="692" spans="1:10" x14ac:dyDescent="0.35">
      <c r="A692" s="4">
        <v>40916</v>
      </c>
      <c r="B692" s="2">
        <v>10768</v>
      </c>
      <c r="C692" s="2">
        <v>456</v>
      </c>
      <c r="D692" s="2">
        <v>21</v>
      </c>
      <c r="E692" s="2">
        <v>61</v>
      </c>
      <c r="F692" s="2">
        <v>1</v>
      </c>
      <c r="G692" s="2">
        <v>9</v>
      </c>
      <c r="H692" s="2">
        <v>16</v>
      </c>
      <c r="I692" s="2">
        <v>25</v>
      </c>
      <c r="J692" t="str">
        <f>_xlfn.XLOOKUP(Table2[[#This Row],[Customer_ID]],Table1[Customer_ID],Table1[Customer_Name])</f>
        <v>Clemencia Gwyn</v>
      </c>
    </row>
    <row r="693" spans="1:10" x14ac:dyDescent="0.35">
      <c r="A693" s="4">
        <v>40916</v>
      </c>
      <c r="B693" s="2">
        <v>10768</v>
      </c>
      <c r="C693" s="2">
        <v>327</v>
      </c>
      <c r="D693" s="2">
        <v>21</v>
      </c>
      <c r="E693" s="2">
        <v>61</v>
      </c>
      <c r="F693" s="2">
        <v>1</v>
      </c>
      <c r="G693" s="2">
        <v>2</v>
      </c>
      <c r="H693" s="2">
        <v>78</v>
      </c>
      <c r="I693" s="2">
        <v>25</v>
      </c>
      <c r="J693" t="str">
        <f>_xlfn.XLOOKUP(Table2[[#This Row],[Customer_ID]],Table1[Customer_ID],Table1[Customer_Name])</f>
        <v>Clemencia Gwyn</v>
      </c>
    </row>
    <row r="694" spans="1:10" x14ac:dyDescent="0.35">
      <c r="A694" s="4">
        <v>40916</v>
      </c>
      <c r="B694" s="2">
        <v>10768</v>
      </c>
      <c r="C694" s="2">
        <v>425</v>
      </c>
      <c r="D694" s="2">
        <v>21</v>
      </c>
      <c r="E694" s="2">
        <v>61</v>
      </c>
      <c r="F694" s="2">
        <v>1</v>
      </c>
      <c r="G694" s="2">
        <v>1</v>
      </c>
      <c r="H694" s="2">
        <v>17</v>
      </c>
      <c r="I694" s="2">
        <v>25</v>
      </c>
      <c r="J694" t="str">
        <f>_xlfn.XLOOKUP(Table2[[#This Row],[Customer_ID]],Table1[Customer_ID],Table1[Customer_Name])</f>
        <v>Clemencia Gwyn</v>
      </c>
    </row>
    <row r="695" spans="1:10" x14ac:dyDescent="0.35">
      <c r="A695" s="4">
        <v>40917</v>
      </c>
      <c r="B695" s="2">
        <v>10770</v>
      </c>
      <c r="C695" s="2">
        <v>428</v>
      </c>
      <c r="D695" s="2">
        <v>23</v>
      </c>
      <c r="E695" s="2">
        <v>80</v>
      </c>
      <c r="F695" s="2">
        <v>1</v>
      </c>
      <c r="G695" s="2">
        <v>1</v>
      </c>
      <c r="H695" s="2">
        <v>15</v>
      </c>
      <c r="I695" s="2">
        <v>25</v>
      </c>
      <c r="J695" t="str">
        <f>_xlfn.XLOOKUP(Table2[[#This Row],[Customer_ID]],Table1[Customer_ID],Table1[Customer_Name])</f>
        <v>Collette Romain</v>
      </c>
    </row>
    <row r="696" spans="1:10" x14ac:dyDescent="0.35">
      <c r="A696" s="4">
        <v>40918</v>
      </c>
      <c r="B696" s="2">
        <v>10772</v>
      </c>
      <c r="C696" s="2">
        <v>391</v>
      </c>
      <c r="D696" s="2">
        <v>25</v>
      </c>
      <c r="E696" s="2">
        <v>70</v>
      </c>
      <c r="F696" s="2">
        <v>1</v>
      </c>
      <c r="G696" s="2">
        <v>1</v>
      </c>
      <c r="H696" s="2">
        <v>8</v>
      </c>
      <c r="I696" s="2">
        <v>25</v>
      </c>
      <c r="J696" t="str">
        <f>_xlfn.XLOOKUP(Table2[[#This Row],[Customer_ID]],Table1[Customer_ID],Table1[Customer_Name])</f>
        <v>Cristy Claire</v>
      </c>
    </row>
    <row r="697" spans="1:10" x14ac:dyDescent="0.35">
      <c r="A697" s="4">
        <v>40918</v>
      </c>
      <c r="B697" s="2">
        <v>10772</v>
      </c>
      <c r="C697" s="2">
        <v>353</v>
      </c>
      <c r="D697" s="2">
        <v>25</v>
      </c>
      <c r="E697" s="2">
        <v>70</v>
      </c>
      <c r="F697" s="2">
        <v>1</v>
      </c>
      <c r="G697" s="2">
        <v>2</v>
      </c>
      <c r="H697" s="2">
        <v>33</v>
      </c>
      <c r="I697" s="2">
        <v>25</v>
      </c>
      <c r="J697" t="str">
        <f>_xlfn.XLOOKUP(Table2[[#This Row],[Customer_ID]],Table1[Customer_ID],Table1[Customer_Name])</f>
        <v>Cristy Claire</v>
      </c>
    </row>
    <row r="698" spans="1:10" x14ac:dyDescent="0.35">
      <c r="A698" s="4">
        <v>40919</v>
      </c>
      <c r="B698" s="2">
        <v>10774</v>
      </c>
      <c r="C698" s="2">
        <v>397</v>
      </c>
      <c r="D698" s="2">
        <v>27</v>
      </c>
      <c r="E698" s="2">
        <v>55</v>
      </c>
      <c r="F698" s="2">
        <v>1</v>
      </c>
      <c r="G698" s="2">
        <v>8</v>
      </c>
      <c r="H698" s="2">
        <v>12</v>
      </c>
      <c r="I698" s="2">
        <v>25</v>
      </c>
      <c r="J698" t="str">
        <f>_xlfn.XLOOKUP(Table2[[#This Row],[Customer_ID]],Table1[Customer_ID],Table1[Customer_Name])</f>
        <v>Daniel Emmerich</v>
      </c>
    </row>
    <row r="699" spans="1:10" x14ac:dyDescent="0.35">
      <c r="A699" s="4">
        <v>40919</v>
      </c>
      <c r="B699" s="2">
        <v>10774</v>
      </c>
      <c r="C699" s="2">
        <v>392</v>
      </c>
      <c r="D699" s="2">
        <v>27</v>
      </c>
      <c r="E699" s="2">
        <v>55</v>
      </c>
      <c r="F699" s="2">
        <v>1</v>
      </c>
      <c r="G699" s="2">
        <v>1</v>
      </c>
      <c r="H699" s="2">
        <v>6</v>
      </c>
      <c r="I699" s="2">
        <v>25</v>
      </c>
      <c r="J699" t="str">
        <f>_xlfn.XLOOKUP(Table2[[#This Row],[Customer_ID]],Table1[Customer_ID],Table1[Customer_Name])</f>
        <v>Daniel Emmerich</v>
      </c>
    </row>
    <row r="700" spans="1:10" x14ac:dyDescent="0.35">
      <c r="A700" s="4">
        <v>40923</v>
      </c>
      <c r="B700" s="2">
        <v>10776</v>
      </c>
      <c r="C700" s="2">
        <v>184</v>
      </c>
      <c r="D700" s="2">
        <v>29</v>
      </c>
      <c r="E700" s="2">
        <v>82</v>
      </c>
      <c r="F700" s="2">
        <v>1</v>
      </c>
      <c r="G700" s="2">
        <v>2</v>
      </c>
      <c r="H700" s="2">
        <v>369</v>
      </c>
      <c r="I700" s="2">
        <v>25</v>
      </c>
      <c r="J700" t="str">
        <f>_xlfn.XLOOKUP(Table2[[#This Row],[Customer_ID]],Table1[Customer_ID],Table1[Customer_Name])</f>
        <v>Deneen Client</v>
      </c>
    </row>
    <row r="701" spans="1:10" x14ac:dyDescent="0.35">
      <c r="A701" s="4">
        <v>40923</v>
      </c>
      <c r="B701" s="2">
        <v>10776</v>
      </c>
      <c r="C701" s="2">
        <v>188</v>
      </c>
      <c r="D701" s="2">
        <v>29</v>
      </c>
      <c r="E701" s="2">
        <v>82</v>
      </c>
      <c r="F701" s="2">
        <v>1</v>
      </c>
      <c r="G701" s="2">
        <v>3</v>
      </c>
      <c r="H701" s="2">
        <v>650</v>
      </c>
      <c r="I701" s="2">
        <v>25</v>
      </c>
      <c r="J701" t="str">
        <f>_xlfn.XLOOKUP(Table2[[#This Row],[Customer_ID]],Table1[Customer_ID],Table1[Customer_Name])</f>
        <v>Deneen Client</v>
      </c>
    </row>
    <row r="702" spans="1:10" x14ac:dyDescent="0.35">
      <c r="A702" s="4">
        <v>40923</v>
      </c>
      <c r="B702" s="2">
        <v>10776</v>
      </c>
      <c r="C702" s="2">
        <v>185</v>
      </c>
      <c r="D702" s="2">
        <v>29</v>
      </c>
      <c r="E702" s="2">
        <v>82</v>
      </c>
      <c r="F702" s="2">
        <v>1</v>
      </c>
      <c r="G702" s="2">
        <v>7</v>
      </c>
      <c r="H702" s="2">
        <v>505</v>
      </c>
      <c r="I702" s="2">
        <v>25</v>
      </c>
      <c r="J702" t="str">
        <f>_xlfn.XLOOKUP(Table2[[#This Row],[Customer_ID]],Table1[Customer_ID],Table1[Customer_Name])</f>
        <v>Deneen Client</v>
      </c>
    </row>
    <row r="703" spans="1:10" x14ac:dyDescent="0.35">
      <c r="A703" s="4">
        <v>40923</v>
      </c>
      <c r="B703" s="2">
        <v>10776</v>
      </c>
      <c r="C703" s="2">
        <v>186</v>
      </c>
      <c r="D703" s="2">
        <v>29</v>
      </c>
      <c r="E703" s="2">
        <v>82</v>
      </c>
      <c r="F703" s="2">
        <v>1</v>
      </c>
      <c r="G703" s="2">
        <v>4</v>
      </c>
      <c r="H703" s="2">
        <v>548</v>
      </c>
      <c r="I703" s="2">
        <v>25</v>
      </c>
      <c r="J703" t="str">
        <f>_xlfn.XLOOKUP(Table2[[#This Row],[Customer_ID]],Table1[Customer_ID],Table1[Customer_Name])</f>
        <v>Deneen Client</v>
      </c>
    </row>
    <row r="704" spans="1:10" x14ac:dyDescent="0.35">
      <c r="A704" s="4">
        <v>40924</v>
      </c>
      <c r="B704" s="2">
        <v>10780</v>
      </c>
      <c r="C704" s="2">
        <v>119</v>
      </c>
      <c r="D704" s="2">
        <v>33</v>
      </c>
      <c r="E704" s="2">
        <v>29</v>
      </c>
      <c r="F704" s="2">
        <v>1</v>
      </c>
      <c r="G704" s="2">
        <v>2</v>
      </c>
      <c r="H704" s="2">
        <v>1302</v>
      </c>
      <c r="I704" s="2">
        <v>25</v>
      </c>
      <c r="J704" t="str">
        <f>_xlfn.XLOOKUP(Table2[[#This Row],[Customer_ID]],Table1[Customer_ID],Table1[Customer_Name])</f>
        <v>Douglas Swinson</v>
      </c>
    </row>
    <row r="705" spans="1:10" x14ac:dyDescent="0.35">
      <c r="A705" s="4">
        <v>40924</v>
      </c>
      <c r="B705" s="2">
        <v>10778</v>
      </c>
      <c r="C705" s="2">
        <v>29</v>
      </c>
      <c r="D705" s="2">
        <v>31</v>
      </c>
      <c r="E705" s="2">
        <v>56</v>
      </c>
      <c r="F705" s="2">
        <v>1</v>
      </c>
      <c r="G705" s="2">
        <v>2</v>
      </c>
      <c r="H705" s="2">
        <v>647</v>
      </c>
      <c r="I705" s="2">
        <v>25</v>
      </c>
      <c r="J705" t="str">
        <f>_xlfn.XLOOKUP(Table2[[#This Row],[Customer_ID]],Table1[Customer_ID],Table1[Customer_Name])</f>
        <v>Dona Kinkade</v>
      </c>
    </row>
    <row r="706" spans="1:10" x14ac:dyDescent="0.35">
      <c r="A706" s="4">
        <v>40924</v>
      </c>
      <c r="B706" s="2">
        <v>10780</v>
      </c>
      <c r="C706" s="2">
        <v>115</v>
      </c>
      <c r="D706" s="2">
        <v>33</v>
      </c>
      <c r="E706" s="2">
        <v>29</v>
      </c>
      <c r="F706" s="2">
        <v>1</v>
      </c>
      <c r="G706" s="2">
        <v>6</v>
      </c>
      <c r="H706" s="2">
        <v>2882</v>
      </c>
      <c r="I706" s="2">
        <v>25</v>
      </c>
      <c r="J706" t="str">
        <f>_xlfn.XLOOKUP(Table2[[#This Row],[Customer_ID]],Table1[Customer_ID],Table1[Customer_Name])</f>
        <v>Douglas Swinson</v>
      </c>
    </row>
    <row r="707" spans="1:10" x14ac:dyDescent="0.35">
      <c r="A707" s="4">
        <v>40925</v>
      </c>
      <c r="B707" s="2">
        <v>10782</v>
      </c>
      <c r="C707" s="2">
        <v>117</v>
      </c>
      <c r="D707" s="2">
        <v>35</v>
      </c>
      <c r="E707" s="2">
        <v>5</v>
      </c>
      <c r="F707" s="2">
        <v>1</v>
      </c>
      <c r="G707" s="2">
        <v>3</v>
      </c>
      <c r="H707" s="2">
        <v>3016</v>
      </c>
      <c r="I707" s="2">
        <v>25</v>
      </c>
      <c r="J707" t="str">
        <f>_xlfn.XLOOKUP(Table2[[#This Row],[Customer_ID]],Table1[Customer_ID],Table1[Customer_Name])</f>
        <v>Dung Do</v>
      </c>
    </row>
    <row r="708" spans="1:10" x14ac:dyDescent="0.35">
      <c r="A708" s="4">
        <v>40926</v>
      </c>
      <c r="B708" s="2">
        <v>10784</v>
      </c>
      <c r="C708" s="2">
        <v>202</v>
      </c>
      <c r="D708" s="2">
        <v>37</v>
      </c>
      <c r="E708" s="2">
        <v>89</v>
      </c>
      <c r="F708" s="2">
        <v>1</v>
      </c>
      <c r="G708" s="2">
        <v>3</v>
      </c>
      <c r="H708" s="2">
        <v>4</v>
      </c>
      <c r="I708" s="2">
        <v>25</v>
      </c>
      <c r="J708" t="str">
        <f>_xlfn.XLOOKUP(Table2[[#This Row],[Customer_ID]],Table1[Customer_ID],Table1[Customer_Name])</f>
        <v>Edda Mcquillen</v>
      </c>
    </row>
    <row r="709" spans="1:10" x14ac:dyDescent="0.35">
      <c r="A709" s="4">
        <v>40926</v>
      </c>
      <c r="B709" s="2">
        <v>10784</v>
      </c>
      <c r="C709" s="2">
        <v>313</v>
      </c>
      <c r="D709" s="2">
        <v>37</v>
      </c>
      <c r="E709" s="2">
        <v>89</v>
      </c>
      <c r="F709" s="2">
        <v>1</v>
      </c>
      <c r="G709" s="2">
        <v>1</v>
      </c>
      <c r="H709" s="2">
        <v>5</v>
      </c>
      <c r="I709" s="2">
        <v>25</v>
      </c>
      <c r="J709" t="str">
        <f>_xlfn.XLOOKUP(Table2[[#This Row],[Customer_ID]],Table1[Customer_ID],Table1[Customer_Name])</f>
        <v>Edda Mcquillen</v>
      </c>
    </row>
    <row r="710" spans="1:10" x14ac:dyDescent="0.35">
      <c r="A710" s="4">
        <v>40926</v>
      </c>
      <c r="B710" s="2">
        <v>10784</v>
      </c>
      <c r="C710" s="2">
        <v>200</v>
      </c>
      <c r="D710" s="2">
        <v>37</v>
      </c>
      <c r="E710" s="2">
        <v>90</v>
      </c>
      <c r="F710" s="2">
        <v>1</v>
      </c>
      <c r="G710" s="2">
        <v>8</v>
      </c>
      <c r="H710" s="2">
        <v>4</v>
      </c>
      <c r="I710" s="2">
        <v>25</v>
      </c>
      <c r="J710" t="str">
        <f>_xlfn.XLOOKUP(Table2[[#This Row],[Customer_ID]],Table1[Customer_ID],Table1[Customer_Name])</f>
        <v>Edda Mcquillen</v>
      </c>
    </row>
    <row r="711" spans="1:10" x14ac:dyDescent="0.35">
      <c r="A711" s="4">
        <v>40927</v>
      </c>
      <c r="B711" s="2">
        <v>10786</v>
      </c>
      <c r="C711" s="2">
        <v>250</v>
      </c>
      <c r="D711" s="2">
        <v>39</v>
      </c>
      <c r="E711" s="2">
        <v>58</v>
      </c>
      <c r="F711" s="2">
        <v>1</v>
      </c>
      <c r="G711" s="2">
        <v>5</v>
      </c>
      <c r="H711" s="2">
        <v>35</v>
      </c>
      <c r="I711" s="2">
        <v>25</v>
      </c>
      <c r="J711" t="str">
        <f>_xlfn.XLOOKUP(Table2[[#This Row],[Customer_ID]],Table1[Customer_ID],Table1[Customer_Name])</f>
        <v>Edythe Manney</v>
      </c>
    </row>
    <row r="712" spans="1:10" x14ac:dyDescent="0.35">
      <c r="A712" s="4">
        <v>40927</v>
      </c>
      <c r="B712" s="2">
        <v>10786</v>
      </c>
      <c r="C712" s="2">
        <v>401</v>
      </c>
      <c r="D712" s="2">
        <v>39</v>
      </c>
      <c r="E712" s="2">
        <v>58</v>
      </c>
      <c r="F712" s="2">
        <v>1</v>
      </c>
      <c r="G712" s="2">
        <v>4</v>
      </c>
      <c r="H712" s="2">
        <v>13</v>
      </c>
      <c r="I712" s="2">
        <v>25</v>
      </c>
      <c r="J712" t="str">
        <f>_xlfn.XLOOKUP(Table2[[#This Row],[Customer_ID]],Table1[Customer_ID],Table1[Customer_Name])</f>
        <v>Edythe Manney</v>
      </c>
    </row>
    <row r="713" spans="1:10" x14ac:dyDescent="0.35">
      <c r="A713" s="4">
        <v>40927</v>
      </c>
      <c r="B713" s="2">
        <v>10786</v>
      </c>
      <c r="C713" s="2">
        <v>349</v>
      </c>
      <c r="D713" s="2">
        <v>39</v>
      </c>
      <c r="E713" s="2">
        <v>58</v>
      </c>
      <c r="F713" s="2">
        <v>1</v>
      </c>
      <c r="G713" s="2">
        <v>1</v>
      </c>
      <c r="H713" s="2">
        <v>7</v>
      </c>
      <c r="I713" s="2">
        <v>25</v>
      </c>
      <c r="J713" t="str">
        <f>_xlfn.XLOOKUP(Table2[[#This Row],[Customer_ID]],Table1[Customer_ID],Table1[Customer_Name])</f>
        <v>Edythe Manney</v>
      </c>
    </row>
    <row r="714" spans="1:10" x14ac:dyDescent="0.35">
      <c r="A714" s="4">
        <v>40930</v>
      </c>
      <c r="B714" s="2">
        <v>10788</v>
      </c>
      <c r="C714" s="2">
        <v>44</v>
      </c>
      <c r="D714" s="2">
        <v>41</v>
      </c>
      <c r="E714" s="2">
        <v>50</v>
      </c>
      <c r="F714" s="2">
        <v>1</v>
      </c>
      <c r="G714" s="2">
        <v>4</v>
      </c>
      <c r="H714" s="2">
        <v>14</v>
      </c>
      <c r="I714" s="2">
        <v>25</v>
      </c>
      <c r="J714" t="str">
        <f>_xlfn.XLOOKUP(Table2[[#This Row],[Customer_ID]],Table1[Customer_ID],Table1[Customer_Name])</f>
        <v>Elicia Rea</v>
      </c>
    </row>
    <row r="715" spans="1:10" x14ac:dyDescent="0.35">
      <c r="A715" s="4">
        <v>40930</v>
      </c>
      <c r="B715" s="2">
        <v>10790</v>
      </c>
      <c r="C715" s="2">
        <v>345</v>
      </c>
      <c r="D715" s="2">
        <v>43</v>
      </c>
      <c r="E715" s="2">
        <v>17</v>
      </c>
      <c r="F715" s="2">
        <v>1</v>
      </c>
      <c r="G715" s="2">
        <v>3</v>
      </c>
      <c r="H715" s="2">
        <v>5</v>
      </c>
      <c r="I715" s="2">
        <v>25</v>
      </c>
      <c r="J715" t="str">
        <f>_xlfn.XLOOKUP(Table2[[#This Row],[Customer_ID]],Table1[Customer_ID],Table1[Customer_Name])</f>
        <v>Eric Eshelman</v>
      </c>
    </row>
    <row r="716" spans="1:10" x14ac:dyDescent="0.35">
      <c r="A716" s="4">
        <v>40930</v>
      </c>
      <c r="B716" s="2">
        <v>10788</v>
      </c>
      <c r="C716" s="2">
        <v>37</v>
      </c>
      <c r="D716" s="2">
        <v>41</v>
      </c>
      <c r="E716" s="2">
        <v>50</v>
      </c>
      <c r="F716" s="2">
        <v>1</v>
      </c>
      <c r="G716" s="2">
        <v>4</v>
      </c>
      <c r="H716" s="2">
        <v>11</v>
      </c>
      <c r="I716" s="2">
        <v>25</v>
      </c>
      <c r="J716" t="str">
        <f>_xlfn.XLOOKUP(Table2[[#This Row],[Customer_ID]],Table1[Customer_ID],Table1[Customer_Name])</f>
        <v>Elicia Rea</v>
      </c>
    </row>
    <row r="717" spans="1:10" x14ac:dyDescent="0.35">
      <c r="A717" s="4">
        <v>40930</v>
      </c>
      <c r="B717" s="2">
        <v>10790</v>
      </c>
      <c r="C717" s="2">
        <v>346</v>
      </c>
      <c r="D717" s="2">
        <v>43</v>
      </c>
      <c r="E717" s="2">
        <v>17</v>
      </c>
      <c r="F717" s="2">
        <v>1</v>
      </c>
      <c r="G717" s="2">
        <v>8</v>
      </c>
      <c r="H717" s="2">
        <v>2</v>
      </c>
      <c r="I717" s="2">
        <v>25</v>
      </c>
      <c r="J717" t="str">
        <f>_xlfn.XLOOKUP(Table2[[#This Row],[Customer_ID]],Table1[Customer_ID],Table1[Customer_Name])</f>
        <v>Eric Eshelman</v>
      </c>
    </row>
    <row r="718" spans="1:10" x14ac:dyDescent="0.35">
      <c r="A718" s="4">
        <v>40931</v>
      </c>
      <c r="B718" s="2">
        <v>10792</v>
      </c>
      <c r="C718" s="2">
        <v>162</v>
      </c>
      <c r="D718" s="2">
        <v>45</v>
      </c>
      <c r="E718" s="2">
        <v>45</v>
      </c>
      <c r="F718" s="2">
        <v>1</v>
      </c>
      <c r="G718" s="2">
        <v>6</v>
      </c>
      <c r="H718" s="2">
        <v>3992</v>
      </c>
      <c r="I718" s="2">
        <v>25</v>
      </c>
      <c r="J718" t="str">
        <f>_xlfn.XLOOKUP(Table2[[#This Row],[Customer_ID]],Table1[Customer_ID],Table1[Customer_Name])</f>
        <v>Everette Ellery</v>
      </c>
    </row>
    <row r="719" spans="1:10" x14ac:dyDescent="0.35">
      <c r="A719" s="4">
        <v>40931</v>
      </c>
      <c r="B719" s="2">
        <v>10792</v>
      </c>
      <c r="C719" s="2">
        <v>147</v>
      </c>
      <c r="D719" s="2">
        <v>45</v>
      </c>
      <c r="E719" s="2">
        <v>45</v>
      </c>
      <c r="F719" s="2">
        <v>1</v>
      </c>
      <c r="G719" s="2">
        <v>5</v>
      </c>
      <c r="H719" s="2">
        <v>576</v>
      </c>
      <c r="I719" s="2">
        <v>25</v>
      </c>
      <c r="J719" t="str">
        <f>_xlfn.XLOOKUP(Table2[[#This Row],[Customer_ID]],Table1[Customer_ID],Table1[Customer_Name])</f>
        <v>Everette Ellery</v>
      </c>
    </row>
    <row r="720" spans="1:10" x14ac:dyDescent="0.35">
      <c r="A720" s="4">
        <v>40932</v>
      </c>
      <c r="B720" s="2">
        <v>10794</v>
      </c>
      <c r="C720" s="2">
        <v>172</v>
      </c>
      <c r="D720" s="2">
        <v>47</v>
      </c>
      <c r="E720" s="2">
        <v>2</v>
      </c>
      <c r="F720" s="2">
        <v>1</v>
      </c>
      <c r="G720" s="2">
        <v>1</v>
      </c>
      <c r="H720" s="2">
        <v>463</v>
      </c>
      <c r="I720" s="2">
        <v>25</v>
      </c>
      <c r="J720" t="str">
        <f>_xlfn.XLOOKUP(Table2[[#This Row],[Customer_ID]],Table1[Customer_ID],Table1[Customer_Name])</f>
        <v>Fe Finchum</v>
      </c>
    </row>
    <row r="721" spans="1:10" x14ac:dyDescent="0.35">
      <c r="A721" s="4">
        <v>40932</v>
      </c>
      <c r="B721" s="2">
        <v>10794</v>
      </c>
      <c r="C721" s="2">
        <v>137</v>
      </c>
      <c r="D721" s="2">
        <v>47</v>
      </c>
      <c r="E721" s="2">
        <v>2</v>
      </c>
      <c r="F721" s="2">
        <v>1</v>
      </c>
      <c r="G721" s="2">
        <v>3</v>
      </c>
      <c r="H721" s="2">
        <v>68</v>
      </c>
      <c r="I721" s="2">
        <v>25</v>
      </c>
      <c r="J721" t="str">
        <f>_xlfn.XLOOKUP(Table2[[#This Row],[Customer_ID]],Table1[Customer_ID],Table1[Customer_Name])</f>
        <v>Fe Finchum</v>
      </c>
    </row>
    <row r="722" spans="1:10" x14ac:dyDescent="0.35">
      <c r="A722" s="4">
        <v>40933</v>
      </c>
      <c r="B722" s="2">
        <v>10796</v>
      </c>
      <c r="C722" s="2">
        <v>291</v>
      </c>
      <c r="D722" s="2">
        <v>49</v>
      </c>
      <c r="E722" s="2">
        <v>51</v>
      </c>
      <c r="F722" s="2">
        <v>1</v>
      </c>
      <c r="G722" s="2">
        <v>5</v>
      </c>
      <c r="H722" s="2">
        <v>3</v>
      </c>
      <c r="I722" s="2">
        <v>25</v>
      </c>
      <c r="J722" t="str">
        <f>_xlfn.XLOOKUP(Table2[[#This Row],[Customer_ID]],Table1[Customer_ID],Table1[Customer_Name])</f>
        <v>Geraldo Stickney</v>
      </c>
    </row>
    <row r="723" spans="1:10" x14ac:dyDescent="0.35">
      <c r="A723" s="4">
        <v>40933</v>
      </c>
      <c r="B723" s="2">
        <v>10796</v>
      </c>
      <c r="C723" s="2">
        <v>224</v>
      </c>
      <c r="D723" s="2">
        <v>49</v>
      </c>
      <c r="E723" s="2">
        <v>51</v>
      </c>
      <c r="F723" s="2">
        <v>1</v>
      </c>
      <c r="G723" s="2">
        <v>4</v>
      </c>
      <c r="H723" s="2">
        <v>5</v>
      </c>
      <c r="I723" s="2">
        <v>25</v>
      </c>
      <c r="J723" t="str">
        <f>_xlfn.XLOOKUP(Table2[[#This Row],[Customer_ID]],Table1[Customer_ID],Table1[Customer_Name])</f>
        <v>Geraldo Stickney</v>
      </c>
    </row>
    <row r="724" spans="1:10" x14ac:dyDescent="0.35">
      <c r="A724" s="4">
        <v>40933</v>
      </c>
      <c r="B724" s="2">
        <v>10796</v>
      </c>
      <c r="C724" s="2">
        <v>297</v>
      </c>
      <c r="D724" s="2">
        <v>49</v>
      </c>
      <c r="E724" s="2">
        <v>51</v>
      </c>
      <c r="F724" s="2">
        <v>1</v>
      </c>
      <c r="G724" s="2">
        <v>5</v>
      </c>
      <c r="H724" s="2">
        <v>3</v>
      </c>
      <c r="I724" s="2">
        <v>25</v>
      </c>
      <c r="J724" t="str">
        <f>_xlfn.XLOOKUP(Table2[[#This Row],[Customer_ID]],Table1[Customer_ID],Table1[Customer_Name])</f>
        <v>Geraldo Stickney</v>
      </c>
    </row>
    <row r="725" spans="1:10" x14ac:dyDescent="0.35">
      <c r="A725" s="4">
        <v>40933</v>
      </c>
      <c r="B725" s="2">
        <v>10796</v>
      </c>
      <c r="C725" s="2">
        <v>385</v>
      </c>
      <c r="D725" s="2">
        <v>49</v>
      </c>
      <c r="E725" s="2">
        <v>51</v>
      </c>
      <c r="F725" s="2">
        <v>1</v>
      </c>
      <c r="G725" s="2">
        <v>1</v>
      </c>
      <c r="H725" s="2">
        <v>8</v>
      </c>
      <c r="I725" s="2">
        <v>25</v>
      </c>
      <c r="J725" t="str">
        <f>_xlfn.XLOOKUP(Table2[[#This Row],[Customer_ID]],Table1[Customer_ID],Table1[Customer_Name])</f>
        <v>Geraldo Stickney</v>
      </c>
    </row>
    <row r="726" spans="1:10" x14ac:dyDescent="0.35">
      <c r="A726" s="4">
        <v>40934</v>
      </c>
      <c r="B726" s="2">
        <v>10800</v>
      </c>
      <c r="C726" s="2">
        <v>102</v>
      </c>
      <c r="D726" s="2">
        <v>53</v>
      </c>
      <c r="E726" s="2">
        <v>43</v>
      </c>
      <c r="F726" s="2">
        <v>1</v>
      </c>
      <c r="G726" s="2">
        <v>5</v>
      </c>
      <c r="H726" s="2">
        <v>495</v>
      </c>
      <c r="I726" s="2">
        <v>25</v>
      </c>
      <c r="J726" t="str">
        <f>_xlfn.XLOOKUP(Table2[[#This Row],[Customer_ID]],Table1[Customer_ID],Table1[Customer_Name])</f>
        <v>Gracia Jelks</v>
      </c>
    </row>
    <row r="727" spans="1:10" x14ac:dyDescent="0.35">
      <c r="A727" s="4">
        <v>40934</v>
      </c>
      <c r="B727" s="2">
        <v>10798</v>
      </c>
      <c r="C727" s="2">
        <v>369</v>
      </c>
      <c r="D727" s="2">
        <v>51</v>
      </c>
      <c r="E727" s="2">
        <v>24</v>
      </c>
      <c r="F727" s="2">
        <v>1</v>
      </c>
      <c r="G727" s="2">
        <v>3</v>
      </c>
      <c r="H727" s="2">
        <v>6</v>
      </c>
      <c r="I727" s="2">
        <v>25</v>
      </c>
      <c r="J727" t="str">
        <f>_xlfn.XLOOKUP(Table2[[#This Row],[Customer_ID]],Table1[Customer_ID],Table1[Customer_Name])</f>
        <v>Gladis Hasan</v>
      </c>
    </row>
    <row r="728" spans="1:10" x14ac:dyDescent="0.35">
      <c r="A728" s="4">
        <v>40934</v>
      </c>
      <c r="B728" s="2">
        <v>10798</v>
      </c>
      <c r="C728" s="2">
        <v>365</v>
      </c>
      <c r="D728" s="2">
        <v>51</v>
      </c>
      <c r="E728" s="2">
        <v>24</v>
      </c>
      <c r="F728" s="2">
        <v>1</v>
      </c>
      <c r="G728" s="2">
        <v>6</v>
      </c>
      <c r="H728" s="2">
        <v>7</v>
      </c>
      <c r="I728" s="2">
        <v>25</v>
      </c>
      <c r="J728" t="str">
        <f>_xlfn.XLOOKUP(Table2[[#This Row],[Customer_ID]],Table1[Customer_ID],Table1[Customer_Name])</f>
        <v>Gladis Hasan</v>
      </c>
    </row>
    <row r="729" spans="1:10" x14ac:dyDescent="0.35">
      <c r="A729" s="4">
        <v>40934</v>
      </c>
      <c r="B729" s="2">
        <v>10800</v>
      </c>
      <c r="C729" s="2">
        <v>101</v>
      </c>
      <c r="D729" s="2">
        <v>53</v>
      </c>
      <c r="E729" s="2">
        <v>43</v>
      </c>
      <c r="F729" s="2">
        <v>1</v>
      </c>
      <c r="G729" s="2">
        <v>3</v>
      </c>
      <c r="H729" s="2">
        <v>706</v>
      </c>
      <c r="I729" s="2">
        <v>25</v>
      </c>
      <c r="J729" t="str">
        <f>_xlfn.XLOOKUP(Table2[[#This Row],[Customer_ID]],Table1[Customer_ID],Table1[Customer_Name])</f>
        <v>Gracia Jelks</v>
      </c>
    </row>
    <row r="730" spans="1:10" x14ac:dyDescent="0.35">
      <c r="A730" s="4">
        <v>40934</v>
      </c>
      <c r="B730" s="2">
        <v>10800</v>
      </c>
      <c r="C730" s="2">
        <v>90</v>
      </c>
      <c r="D730" s="2">
        <v>53</v>
      </c>
      <c r="E730" s="2">
        <v>43</v>
      </c>
      <c r="F730" s="2">
        <v>1</v>
      </c>
      <c r="G730" s="2">
        <v>2</v>
      </c>
      <c r="H730" s="2">
        <v>670</v>
      </c>
      <c r="I730" s="2">
        <v>25</v>
      </c>
      <c r="J730" t="str">
        <f>_xlfn.XLOOKUP(Table2[[#This Row],[Customer_ID]],Table1[Customer_ID],Table1[Customer_Name])</f>
        <v>Gracia Jelks</v>
      </c>
    </row>
    <row r="731" spans="1:10" x14ac:dyDescent="0.35">
      <c r="A731" s="4">
        <v>40937</v>
      </c>
      <c r="B731" s="2">
        <v>10802</v>
      </c>
      <c r="C731" s="2">
        <v>96</v>
      </c>
      <c r="D731" s="2">
        <v>55</v>
      </c>
      <c r="E731" s="2">
        <v>53</v>
      </c>
      <c r="F731" s="2">
        <v>1</v>
      </c>
      <c r="G731" s="2">
        <v>2</v>
      </c>
      <c r="H731" s="2">
        <v>904</v>
      </c>
      <c r="I731" s="2">
        <v>25</v>
      </c>
      <c r="J731" t="str">
        <f>_xlfn.XLOOKUP(Table2[[#This Row],[Customer_ID]],Table1[Customer_ID],Table1[Customer_Name])</f>
        <v>Harrison Hugh</v>
      </c>
    </row>
    <row r="732" spans="1:10" x14ac:dyDescent="0.35">
      <c r="A732" s="4">
        <v>40937</v>
      </c>
      <c r="B732" s="2">
        <v>10802</v>
      </c>
      <c r="C732" s="2">
        <v>97</v>
      </c>
      <c r="D732" s="2">
        <v>55</v>
      </c>
      <c r="E732" s="2">
        <v>53</v>
      </c>
      <c r="F732" s="2">
        <v>1</v>
      </c>
      <c r="G732" s="2">
        <v>3</v>
      </c>
      <c r="H732" s="2">
        <v>888</v>
      </c>
      <c r="I732" s="2">
        <v>25</v>
      </c>
      <c r="J732" t="str">
        <f>_xlfn.XLOOKUP(Table2[[#This Row],[Customer_ID]],Table1[Customer_ID],Table1[Customer_Name])</f>
        <v>Harrison Hugh</v>
      </c>
    </row>
    <row r="733" spans="1:10" x14ac:dyDescent="0.35">
      <c r="A733" s="4">
        <v>40937</v>
      </c>
      <c r="B733" s="2">
        <v>10802</v>
      </c>
      <c r="C733" s="2">
        <v>89</v>
      </c>
      <c r="D733" s="2">
        <v>55</v>
      </c>
      <c r="E733" s="2">
        <v>53</v>
      </c>
      <c r="F733" s="2">
        <v>1</v>
      </c>
      <c r="G733" s="2">
        <v>6</v>
      </c>
      <c r="H733" s="2">
        <v>543</v>
      </c>
      <c r="I733" s="2">
        <v>25</v>
      </c>
      <c r="J733" t="str">
        <f>_xlfn.XLOOKUP(Table2[[#This Row],[Customer_ID]],Table1[Customer_ID],Table1[Customer_Name])</f>
        <v>Harrison Hugh</v>
      </c>
    </row>
    <row r="734" spans="1:10" x14ac:dyDescent="0.35">
      <c r="A734" s="4">
        <v>40937</v>
      </c>
      <c r="B734" s="2">
        <v>10802</v>
      </c>
      <c r="C734" s="2">
        <v>91</v>
      </c>
      <c r="D734" s="2">
        <v>55</v>
      </c>
      <c r="E734" s="2">
        <v>53</v>
      </c>
      <c r="F734" s="2">
        <v>1</v>
      </c>
      <c r="G734" s="2">
        <v>1</v>
      </c>
      <c r="H734" s="2">
        <v>480</v>
      </c>
      <c r="I734" s="2">
        <v>25</v>
      </c>
      <c r="J734" t="str">
        <f>_xlfn.XLOOKUP(Table2[[#This Row],[Customer_ID]],Table1[Customer_ID],Table1[Customer_Name])</f>
        <v>Harrison Hugh</v>
      </c>
    </row>
    <row r="735" spans="1:10" x14ac:dyDescent="0.35">
      <c r="A735" s="4">
        <v>40938</v>
      </c>
      <c r="B735" s="2">
        <v>10804</v>
      </c>
      <c r="C735" s="2">
        <v>430</v>
      </c>
      <c r="D735" s="2">
        <v>57</v>
      </c>
      <c r="E735" s="2">
        <v>28</v>
      </c>
      <c r="F735" s="2">
        <v>1</v>
      </c>
      <c r="G735" s="2">
        <v>2</v>
      </c>
      <c r="H735" s="2">
        <v>18</v>
      </c>
      <c r="I735" s="2">
        <v>25</v>
      </c>
      <c r="J735" t="str">
        <f>_xlfn.XLOOKUP(Table2[[#This Row],[Customer_ID]],Table1[Customer_ID],Table1[Customer_Name])</f>
        <v>Ina Iversen</v>
      </c>
    </row>
    <row r="736" spans="1:10" x14ac:dyDescent="0.35">
      <c r="A736" s="4">
        <v>40938</v>
      </c>
      <c r="B736" s="2">
        <v>10804</v>
      </c>
      <c r="C736" s="2">
        <v>440</v>
      </c>
      <c r="D736" s="2">
        <v>57</v>
      </c>
      <c r="E736" s="2">
        <v>28</v>
      </c>
      <c r="F736" s="2">
        <v>1</v>
      </c>
      <c r="G736" s="2">
        <v>8</v>
      </c>
      <c r="H736" s="2">
        <v>38</v>
      </c>
      <c r="I736" s="2">
        <v>25</v>
      </c>
      <c r="J736" t="str">
        <f>_xlfn.XLOOKUP(Table2[[#This Row],[Customer_ID]],Table1[Customer_ID],Table1[Customer_Name])</f>
        <v>Ina Iversen</v>
      </c>
    </row>
    <row r="737" spans="1:10" x14ac:dyDescent="0.35">
      <c r="A737" s="4">
        <v>40938</v>
      </c>
      <c r="B737" s="2">
        <v>10804</v>
      </c>
      <c r="C737" s="2">
        <v>99</v>
      </c>
      <c r="D737" s="2">
        <v>57</v>
      </c>
      <c r="E737" s="2">
        <v>28</v>
      </c>
      <c r="F737" s="2">
        <v>1</v>
      </c>
      <c r="G737" s="2">
        <v>1</v>
      </c>
      <c r="H737" s="2">
        <v>1611</v>
      </c>
      <c r="I737" s="2">
        <v>25</v>
      </c>
      <c r="J737" t="str">
        <f>_xlfn.XLOOKUP(Table2[[#This Row],[Customer_ID]],Table1[Customer_ID],Table1[Customer_Name])</f>
        <v>Ina Iversen</v>
      </c>
    </row>
    <row r="738" spans="1:10" x14ac:dyDescent="0.35">
      <c r="A738" s="4">
        <v>40939</v>
      </c>
      <c r="B738" s="2">
        <v>10806</v>
      </c>
      <c r="C738" s="2">
        <v>448</v>
      </c>
      <c r="D738" s="2">
        <v>59</v>
      </c>
      <c r="E738" s="2">
        <v>77</v>
      </c>
      <c r="F738" s="2">
        <v>1</v>
      </c>
      <c r="G738" s="2">
        <v>3</v>
      </c>
      <c r="H738" s="2">
        <v>47</v>
      </c>
      <c r="I738" s="2">
        <v>25</v>
      </c>
      <c r="J738" t="str">
        <f>_xlfn.XLOOKUP(Table2[[#This Row],[Customer_ID]],Table1[Customer_ID],Table1[Customer_Name])</f>
        <v>Janella Vallo</v>
      </c>
    </row>
    <row r="739" spans="1:10" x14ac:dyDescent="0.35">
      <c r="A739" s="4">
        <v>40939</v>
      </c>
      <c r="B739" s="2">
        <v>10806</v>
      </c>
      <c r="C739" s="2">
        <v>420</v>
      </c>
      <c r="D739" s="2">
        <v>59</v>
      </c>
      <c r="E739" s="2">
        <v>77</v>
      </c>
      <c r="F739" s="2">
        <v>1</v>
      </c>
      <c r="G739" s="2">
        <v>1</v>
      </c>
      <c r="H739" s="2">
        <v>17</v>
      </c>
      <c r="I739" s="2">
        <v>25</v>
      </c>
      <c r="J739" t="str">
        <f>_xlfn.XLOOKUP(Table2[[#This Row],[Customer_ID]],Table1[Customer_ID],Table1[Customer_Name])</f>
        <v>Janella Vallo</v>
      </c>
    </row>
    <row r="740" spans="1:10" x14ac:dyDescent="0.35">
      <c r="A740" s="4">
        <v>40939</v>
      </c>
      <c r="B740" s="2">
        <v>10806</v>
      </c>
      <c r="C740" s="2">
        <v>452</v>
      </c>
      <c r="D740" s="2">
        <v>59</v>
      </c>
      <c r="E740" s="2">
        <v>77</v>
      </c>
      <c r="F740" s="2">
        <v>1</v>
      </c>
      <c r="G740" s="2">
        <v>3</v>
      </c>
      <c r="H740" s="2">
        <v>24</v>
      </c>
      <c r="I740" s="2">
        <v>25</v>
      </c>
      <c r="J740" t="str">
        <f>_xlfn.XLOOKUP(Table2[[#This Row],[Customer_ID]],Table1[Customer_ID],Table1[Customer_Name])</f>
        <v>Janella Vallo</v>
      </c>
    </row>
    <row r="741" spans="1:10" x14ac:dyDescent="0.35">
      <c r="A741" s="4">
        <v>40940</v>
      </c>
      <c r="B741" s="2">
        <v>10810</v>
      </c>
      <c r="C741" s="2">
        <v>58</v>
      </c>
      <c r="D741" s="2">
        <v>63</v>
      </c>
      <c r="E741" s="2">
        <v>34</v>
      </c>
      <c r="F741" s="2">
        <v>1</v>
      </c>
      <c r="G741" s="2">
        <v>3</v>
      </c>
      <c r="H741" s="2">
        <v>14</v>
      </c>
      <c r="I741" s="2">
        <v>25</v>
      </c>
      <c r="J741" t="str">
        <f>_xlfn.XLOOKUP(Table2[[#This Row],[Customer_ID]],Table1[Customer_ID],Table1[Customer_Name])</f>
        <v>Johnathon Tucker</v>
      </c>
    </row>
    <row r="742" spans="1:10" x14ac:dyDescent="0.35">
      <c r="A742" s="4">
        <v>40940</v>
      </c>
      <c r="B742" s="2">
        <v>10810</v>
      </c>
      <c r="C742" s="2">
        <v>59</v>
      </c>
      <c r="D742" s="2">
        <v>63</v>
      </c>
      <c r="E742" s="2">
        <v>34</v>
      </c>
      <c r="F742" s="2">
        <v>1</v>
      </c>
      <c r="G742" s="2">
        <v>1</v>
      </c>
      <c r="H742" s="2">
        <v>11</v>
      </c>
      <c r="I742" s="2">
        <v>25</v>
      </c>
      <c r="J742" t="str">
        <f>_xlfn.XLOOKUP(Table2[[#This Row],[Customer_ID]],Table1[Customer_ID],Table1[Customer_Name])</f>
        <v>Johnathon Tucker</v>
      </c>
    </row>
    <row r="743" spans="1:10" x14ac:dyDescent="0.35">
      <c r="A743" s="4">
        <v>40940</v>
      </c>
      <c r="B743" s="2">
        <v>10808</v>
      </c>
      <c r="C743" s="2">
        <v>434</v>
      </c>
      <c r="D743" s="2">
        <v>61</v>
      </c>
      <c r="E743" s="2">
        <v>24</v>
      </c>
      <c r="F743" s="2">
        <v>1</v>
      </c>
      <c r="G743" s="2">
        <v>1</v>
      </c>
      <c r="H743" s="2">
        <v>24</v>
      </c>
      <c r="I743" s="2">
        <v>25</v>
      </c>
      <c r="J743" t="str">
        <f>_xlfn.XLOOKUP(Table2[[#This Row],[Customer_ID]],Table1[Customer_ID],Table1[Customer_Name])</f>
        <v>Jeanelle Joynes</v>
      </c>
    </row>
    <row r="744" spans="1:10" x14ac:dyDescent="0.35">
      <c r="A744" s="4">
        <v>40940</v>
      </c>
      <c r="B744" s="2">
        <v>10810</v>
      </c>
      <c r="C744" s="2">
        <v>251</v>
      </c>
      <c r="D744" s="2">
        <v>63</v>
      </c>
      <c r="E744" s="2">
        <v>34</v>
      </c>
      <c r="F744" s="2">
        <v>1</v>
      </c>
      <c r="G744" s="2">
        <v>6</v>
      </c>
      <c r="H744" s="2">
        <v>25</v>
      </c>
      <c r="I744" s="2">
        <v>25</v>
      </c>
      <c r="J744" t="str">
        <f>_xlfn.XLOOKUP(Table2[[#This Row],[Customer_ID]],Table1[Customer_ID],Table1[Customer_Name])</f>
        <v>Johnathon Tucker</v>
      </c>
    </row>
    <row r="745" spans="1:10" x14ac:dyDescent="0.35">
      <c r="A745" s="4">
        <v>40940</v>
      </c>
      <c r="B745" s="2">
        <v>10808</v>
      </c>
      <c r="C745" s="2">
        <v>427</v>
      </c>
      <c r="D745" s="2">
        <v>61</v>
      </c>
      <c r="E745" s="2">
        <v>24</v>
      </c>
      <c r="F745" s="2">
        <v>1</v>
      </c>
      <c r="G745" s="2">
        <v>1</v>
      </c>
      <c r="H745" s="2">
        <v>18</v>
      </c>
      <c r="I745" s="2">
        <v>25</v>
      </c>
      <c r="J745" t="str">
        <f>_xlfn.XLOOKUP(Table2[[#This Row],[Customer_ID]],Table1[Customer_ID],Table1[Customer_Name])</f>
        <v>Jeanelle Joynes</v>
      </c>
    </row>
    <row r="746" spans="1:10" x14ac:dyDescent="0.35">
      <c r="A746" s="4">
        <v>40941</v>
      </c>
      <c r="B746" s="2">
        <v>10812</v>
      </c>
      <c r="C746" s="2">
        <v>331</v>
      </c>
      <c r="D746" s="2">
        <v>65</v>
      </c>
      <c r="E746" s="2">
        <v>31</v>
      </c>
      <c r="F746" s="2">
        <v>1</v>
      </c>
      <c r="G746" s="2">
        <v>8</v>
      </c>
      <c r="H746" s="2">
        <v>11</v>
      </c>
      <c r="I746" s="2">
        <v>25</v>
      </c>
      <c r="J746" t="str">
        <f>_xlfn.XLOOKUP(Table2[[#This Row],[Customer_ID]],Table1[Customer_ID],Table1[Customer_Name])</f>
        <v>Judie Sawicki</v>
      </c>
    </row>
    <row r="747" spans="1:10" x14ac:dyDescent="0.35">
      <c r="A747" s="4">
        <v>40941</v>
      </c>
      <c r="B747" s="2">
        <v>10812</v>
      </c>
      <c r="C747" s="2">
        <v>368</v>
      </c>
      <c r="D747" s="2">
        <v>65</v>
      </c>
      <c r="E747" s="2">
        <v>31</v>
      </c>
      <c r="F747" s="2">
        <v>1</v>
      </c>
      <c r="G747" s="2">
        <v>3</v>
      </c>
      <c r="H747" s="2">
        <v>6</v>
      </c>
      <c r="I747" s="2">
        <v>25</v>
      </c>
      <c r="J747" t="str">
        <f>_xlfn.XLOOKUP(Table2[[#This Row],[Customer_ID]],Table1[Customer_ID],Table1[Customer_Name])</f>
        <v>Judie Sawicki</v>
      </c>
    </row>
    <row r="748" spans="1:10" x14ac:dyDescent="0.35">
      <c r="A748" s="4">
        <v>40941</v>
      </c>
      <c r="B748" s="2">
        <v>10812</v>
      </c>
      <c r="C748" s="2">
        <v>333</v>
      </c>
      <c r="D748" s="2">
        <v>65</v>
      </c>
      <c r="E748" s="2">
        <v>31</v>
      </c>
      <c r="F748" s="2">
        <v>1</v>
      </c>
      <c r="G748" s="2">
        <v>4</v>
      </c>
      <c r="H748" s="2">
        <v>46</v>
      </c>
      <c r="I748" s="2">
        <v>25</v>
      </c>
      <c r="J748" t="str">
        <f>_xlfn.XLOOKUP(Table2[[#This Row],[Customer_ID]],Table1[Customer_ID],Table1[Customer_Name])</f>
        <v>Judie Sawicki</v>
      </c>
    </row>
    <row r="749" spans="1:10" x14ac:dyDescent="0.35">
      <c r="A749" s="4">
        <v>40944</v>
      </c>
      <c r="B749" s="2">
        <v>10814</v>
      </c>
      <c r="C749" s="2">
        <v>449</v>
      </c>
      <c r="D749" s="2">
        <v>67</v>
      </c>
      <c r="F749" s="2">
        <v>1</v>
      </c>
      <c r="G749" s="2">
        <v>5</v>
      </c>
      <c r="H749" s="2">
        <v>19</v>
      </c>
      <c r="I749" s="2">
        <v>25</v>
      </c>
      <c r="J749" t="str">
        <f>_xlfn.XLOOKUP(Table2[[#This Row],[Customer_ID]],Table1[Customer_ID],Table1[Customer_Name])</f>
        <v>Kaitlyn Killian</v>
      </c>
    </row>
    <row r="750" spans="1:10" x14ac:dyDescent="0.35">
      <c r="A750" s="4">
        <v>40944</v>
      </c>
      <c r="B750" s="2">
        <v>10814</v>
      </c>
      <c r="C750" s="2">
        <v>55</v>
      </c>
      <c r="D750" s="2">
        <v>67</v>
      </c>
      <c r="F750" s="2">
        <v>1</v>
      </c>
      <c r="G750" s="2">
        <v>2</v>
      </c>
      <c r="H750" s="2">
        <v>20</v>
      </c>
      <c r="I750" s="2">
        <v>25</v>
      </c>
      <c r="J750" t="str">
        <f>_xlfn.XLOOKUP(Table2[[#This Row],[Customer_ID]],Table1[Customer_ID],Table1[Customer_Name])</f>
        <v>Kaitlyn Killian</v>
      </c>
    </row>
    <row r="751" spans="1:10" x14ac:dyDescent="0.35">
      <c r="A751" s="4">
        <v>40944</v>
      </c>
      <c r="B751" s="2">
        <v>10814</v>
      </c>
      <c r="C751" s="2">
        <v>54</v>
      </c>
      <c r="D751" s="2">
        <v>67</v>
      </c>
      <c r="F751" s="2">
        <v>1</v>
      </c>
      <c r="G751" s="2">
        <v>1</v>
      </c>
      <c r="H751" s="2">
        <v>41</v>
      </c>
      <c r="I751" s="2">
        <v>25</v>
      </c>
      <c r="J751" t="str">
        <f>_xlfn.XLOOKUP(Table2[[#This Row],[Customer_ID]],Table1[Customer_ID],Table1[Customer_Name])</f>
        <v>Kaitlyn Killian</v>
      </c>
    </row>
    <row r="752" spans="1:10" x14ac:dyDescent="0.35">
      <c r="A752" s="4">
        <v>40944</v>
      </c>
      <c r="B752" s="2">
        <v>10814</v>
      </c>
      <c r="C752" s="2">
        <v>443</v>
      </c>
      <c r="D752" s="2">
        <v>67</v>
      </c>
      <c r="F752" s="2">
        <v>1</v>
      </c>
      <c r="G752" s="2">
        <v>5</v>
      </c>
      <c r="H752" s="2">
        <v>19</v>
      </c>
      <c r="I752" s="2">
        <v>25</v>
      </c>
      <c r="J752" t="str">
        <f>_xlfn.XLOOKUP(Table2[[#This Row],[Customer_ID]],Table1[Customer_ID],Table1[Customer_Name])</f>
        <v>Kaitlyn Killian</v>
      </c>
    </row>
    <row r="753" spans="1:10" x14ac:dyDescent="0.35">
      <c r="A753" s="4">
        <v>40945</v>
      </c>
      <c r="B753" s="2">
        <v>10816</v>
      </c>
      <c r="C753" s="2">
        <v>437</v>
      </c>
      <c r="D753" s="2">
        <v>69</v>
      </c>
      <c r="F753" s="2">
        <v>1</v>
      </c>
      <c r="G753" s="2">
        <v>4</v>
      </c>
      <c r="H753" s="2">
        <v>12</v>
      </c>
      <c r="I753" s="2">
        <v>25</v>
      </c>
      <c r="J753" t="str">
        <f>_xlfn.XLOOKUP(Table2[[#This Row],[Customer_ID]],Table1[Customer_ID],Table1[Customer_Name])</f>
        <v>Kareem Koser</v>
      </c>
    </row>
    <row r="754" spans="1:10" x14ac:dyDescent="0.35">
      <c r="A754" s="4">
        <v>40945</v>
      </c>
      <c r="B754" s="2">
        <v>10816</v>
      </c>
      <c r="C754" s="2">
        <v>416</v>
      </c>
      <c r="D754" s="2">
        <v>69</v>
      </c>
      <c r="F754" s="2">
        <v>1</v>
      </c>
      <c r="G754" s="2">
        <v>3</v>
      </c>
      <c r="H754" s="2">
        <v>14</v>
      </c>
      <c r="I754" s="2">
        <v>25</v>
      </c>
      <c r="J754" t="str">
        <f>_xlfn.XLOOKUP(Table2[[#This Row],[Customer_ID]],Table1[Customer_ID],Table1[Customer_Name])</f>
        <v>Kareem Koser</v>
      </c>
    </row>
    <row r="755" spans="1:10" x14ac:dyDescent="0.35">
      <c r="A755" s="4">
        <v>40946</v>
      </c>
      <c r="B755" s="2">
        <v>10820</v>
      </c>
      <c r="C755" s="2">
        <v>454</v>
      </c>
      <c r="D755" s="2">
        <v>73</v>
      </c>
      <c r="F755" s="2">
        <v>1</v>
      </c>
      <c r="G755" s="2">
        <v>9</v>
      </c>
      <c r="H755" s="2">
        <v>22</v>
      </c>
      <c r="I755" s="2">
        <v>25</v>
      </c>
      <c r="J755" t="str">
        <f>_xlfn.XLOOKUP(Table2[[#This Row],[Customer_ID]],Table1[Customer_ID],Table1[Customer_Name])</f>
        <v>Katharine Pearcy</v>
      </c>
    </row>
    <row r="756" spans="1:10" x14ac:dyDescent="0.35">
      <c r="A756" s="4">
        <v>40946</v>
      </c>
      <c r="B756" s="2">
        <v>10818</v>
      </c>
      <c r="C756" s="2">
        <v>371</v>
      </c>
      <c r="D756" s="2">
        <v>71</v>
      </c>
      <c r="F756" s="2">
        <v>1</v>
      </c>
      <c r="G756" s="2">
        <v>2</v>
      </c>
      <c r="H756" s="2">
        <v>7</v>
      </c>
      <c r="I756" s="2">
        <v>25</v>
      </c>
      <c r="J756" t="str">
        <f>_xlfn.XLOOKUP(Table2[[#This Row],[Customer_ID]],Table1[Customer_ID],Table1[Customer_Name])</f>
        <v>Karissa Kircher</v>
      </c>
    </row>
    <row r="757" spans="1:10" x14ac:dyDescent="0.35">
      <c r="A757" s="4">
        <v>40946</v>
      </c>
      <c r="B757" s="2">
        <v>10818</v>
      </c>
      <c r="C757" s="2">
        <v>296</v>
      </c>
      <c r="D757" s="2">
        <v>71</v>
      </c>
      <c r="F757" s="2">
        <v>1</v>
      </c>
      <c r="G757" s="2">
        <v>3</v>
      </c>
      <c r="H757" s="2">
        <v>3</v>
      </c>
      <c r="I757" s="2">
        <v>25</v>
      </c>
      <c r="J757" t="str">
        <f>_xlfn.XLOOKUP(Table2[[#This Row],[Customer_ID]],Table1[Customer_ID],Table1[Customer_Name])</f>
        <v>Karissa Kircher</v>
      </c>
    </row>
    <row r="758" spans="1:10" x14ac:dyDescent="0.35">
      <c r="A758" s="4">
        <v>40947</v>
      </c>
      <c r="B758" s="2">
        <v>10822</v>
      </c>
      <c r="C758" s="2">
        <v>205</v>
      </c>
      <c r="D758" s="2">
        <v>75</v>
      </c>
      <c r="F758" s="2">
        <v>1</v>
      </c>
      <c r="G758" s="2">
        <v>2</v>
      </c>
      <c r="H758" s="2">
        <v>9</v>
      </c>
      <c r="I758" s="2">
        <v>25</v>
      </c>
      <c r="J758" t="str">
        <f>_xlfn.XLOOKUP(Table2[[#This Row],[Customer_ID]],Table1[Customer_ID],Table1[Customer_Name])</f>
        <v>Keisha Koh</v>
      </c>
    </row>
    <row r="759" spans="1:10" x14ac:dyDescent="0.35">
      <c r="A759" s="4">
        <v>40947</v>
      </c>
      <c r="B759" s="2">
        <v>10822</v>
      </c>
      <c r="C759" s="2">
        <v>398</v>
      </c>
      <c r="D759" s="2">
        <v>75</v>
      </c>
      <c r="F759" s="2">
        <v>1</v>
      </c>
      <c r="G759" s="2">
        <v>1</v>
      </c>
      <c r="H759" s="2">
        <v>12</v>
      </c>
      <c r="I759" s="2">
        <v>25</v>
      </c>
      <c r="J759" t="str">
        <f>_xlfn.XLOOKUP(Table2[[#This Row],[Customer_ID]],Table1[Customer_ID],Table1[Customer_Name])</f>
        <v>Keisha Koh</v>
      </c>
    </row>
    <row r="760" spans="1:10" x14ac:dyDescent="0.35">
      <c r="A760" s="4">
        <v>40948</v>
      </c>
      <c r="B760" s="2">
        <v>10824</v>
      </c>
      <c r="C760" s="2">
        <v>306</v>
      </c>
      <c r="D760" s="2">
        <v>77</v>
      </c>
      <c r="F760" s="2">
        <v>1</v>
      </c>
      <c r="G760" s="2">
        <v>1</v>
      </c>
      <c r="H760" s="2">
        <v>9</v>
      </c>
      <c r="I760" s="2">
        <v>25</v>
      </c>
      <c r="J760" t="str">
        <f>_xlfn.XLOOKUP(Table2[[#This Row],[Customer_ID]],Table1[Customer_ID],Table1[Customer_Name])</f>
        <v>Kyla Danek</v>
      </c>
    </row>
    <row r="761" spans="1:10" x14ac:dyDescent="0.35">
      <c r="A761" s="4">
        <v>40948</v>
      </c>
      <c r="B761" s="2">
        <v>10824</v>
      </c>
      <c r="C761" s="2">
        <v>336</v>
      </c>
      <c r="D761" s="2">
        <v>77</v>
      </c>
      <c r="F761" s="2">
        <v>1</v>
      </c>
      <c r="G761" s="2">
        <v>5</v>
      </c>
      <c r="H761" s="2">
        <v>5</v>
      </c>
      <c r="I761" s="2">
        <v>25</v>
      </c>
      <c r="J761" t="str">
        <f>_xlfn.XLOOKUP(Table2[[#This Row],[Customer_ID]],Table1[Customer_ID],Table1[Customer_Name])</f>
        <v>Kyla Danek</v>
      </c>
    </row>
    <row r="762" spans="1:10" x14ac:dyDescent="0.35">
      <c r="A762" s="4">
        <v>40951</v>
      </c>
      <c r="B762" s="2">
        <v>10826</v>
      </c>
      <c r="C762" s="2">
        <v>280</v>
      </c>
      <c r="D762" s="2">
        <v>79</v>
      </c>
      <c r="F762" s="2">
        <v>1</v>
      </c>
      <c r="G762" s="2">
        <v>1</v>
      </c>
      <c r="H762" s="2">
        <v>2</v>
      </c>
      <c r="I762" s="2">
        <v>25</v>
      </c>
      <c r="J762" t="str">
        <f>_xlfn.XLOOKUP(Table2[[#This Row],[Customer_ID]],Table1[Customer_ID],Table1[Customer_Name])</f>
        <v>Lala Ladue</v>
      </c>
    </row>
    <row r="763" spans="1:10" x14ac:dyDescent="0.35">
      <c r="A763" s="4">
        <v>40951</v>
      </c>
      <c r="B763" s="2">
        <v>10826</v>
      </c>
      <c r="C763" s="2">
        <v>231</v>
      </c>
      <c r="D763" s="2">
        <v>79</v>
      </c>
      <c r="F763" s="2">
        <v>1</v>
      </c>
      <c r="G763" s="2">
        <v>1</v>
      </c>
      <c r="H763" s="2">
        <v>5</v>
      </c>
      <c r="I763" s="2">
        <v>25</v>
      </c>
      <c r="J763" t="str">
        <f>_xlfn.XLOOKUP(Table2[[#This Row],[Customer_ID]],Table1[Customer_ID],Table1[Customer_Name])</f>
        <v>Lala Ladue</v>
      </c>
    </row>
    <row r="764" spans="1:10" x14ac:dyDescent="0.35">
      <c r="A764" s="4">
        <v>40952</v>
      </c>
      <c r="B764" s="2">
        <v>10830</v>
      </c>
      <c r="C764" s="2">
        <v>328</v>
      </c>
      <c r="D764" s="2">
        <v>83</v>
      </c>
      <c r="F764" s="2">
        <v>1</v>
      </c>
      <c r="G764" s="2">
        <v>8</v>
      </c>
      <c r="H764" s="2">
        <v>46</v>
      </c>
      <c r="I764" s="2">
        <v>25</v>
      </c>
      <c r="J764" t="str">
        <f>_xlfn.XLOOKUP(Table2[[#This Row],[Customer_ID]],Table1[Customer_ID],Table1[Customer_Name])</f>
        <v>Lily Weatherford</v>
      </c>
    </row>
    <row r="765" spans="1:10" x14ac:dyDescent="0.35">
      <c r="A765" s="4">
        <v>40952</v>
      </c>
      <c r="B765" s="2">
        <v>10830</v>
      </c>
      <c r="C765" s="2">
        <v>362</v>
      </c>
      <c r="D765" s="2">
        <v>83</v>
      </c>
      <c r="F765" s="2">
        <v>1</v>
      </c>
      <c r="G765" s="2">
        <v>3</v>
      </c>
      <c r="H765" s="2">
        <v>4</v>
      </c>
      <c r="I765" s="2">
        <v>25</v>
      </c>
      <c r="J765" t="str">
        <f>_xlfn.XLOOKUP(Table2[[#This Row],[Customer_ID]],Table1[Customer_ID],Table1[Customer_Name])</f>
        <v>Lily Weatherford</v>
      </c>
    </row>
    <row r="766" spans="1:10" x14ac:dyDescent="0.35">
      <c r="A766" s="4">
        <v>40952</v>
      </c>
      <c r="B766" s="2">
        <v>10828</v>
      </c>
      <c r="C766" s="2">
        <v>305</v>
      </c>
      <c r="D766" s="2">
        <v>81</v>
      </c>
      <c r="F766" s="2">
        <v>1</v>
      </c>
      <c r="G766" s="2">
        <v>1</v>
      </c>
      <c r="H766" s="2">
        <v>4</v>
      </c>
      <c r="I766" s="2">
        <v>25</v>
      </c>
      <c r="J766" t="str">
        <f>_xlfn.XLOOKUP(Table2[[#This Row],[Customer_ID]],Table1[Customer_ID],Table1[Customer_Name])</f>
        <v>Leanne Lockhart</v>
      </c>
    </row>
    <row r="767" spans="1:10" x14ac:dyDescent="0.35">
      <c r="A767" s="4">
        <v>40952</v>
      </c>
      <c r="B767" s="2">
        <v>10830</v>
      </c>
      <c r="C767" s="2">
        <v>227</v>
      </c>
      <c r="D767" s="2">
        <v>83</v>
      </c>
      <c r="F767" s="2">
        <v>1</v>
      </c>
      <c r="G767" s="2">
        <v>5</v>
      </c>
      <c r="H767" s="2">
        <v>4</v>
      </c>
      <c r="I767" s="2">
        <v>25</v>
      </c>
      <c r="J767" t="str">
        <f>_xlfn.XLOOKUP(Table2[[#This Row],[Customer_ID]],Table1[Customer_ID],Table1[Customer_Name])</f>
        <v>Lily Weatherford</v>
      </c>
    </row>
    <row r="768" spans="1:10" x14ac:dyDescent="0.35">
      <c r="A768" s="4">
        <v>40952</v>
      </c>
      <c r="B768" s="2">
        <v>10828</v>
      </c>
      <c r="C768" s="2">
        <v>225</v>
      </c>
      <c r="D768" s="2">
        <v>81</v>
      </c>
      <c r="F768" s="2">
        <v>1</v>
      </c>
      <c r="G768" s="2">
        <v>3</v>
      </c>
      <c r="H768" s="2">
        <v>3</v>
      </c>
      <c r="I768" s="2">
        <v>25</v>
      </c>
      <c r="J768" t="str">
        <f>_xlfn.XLOOKUP(Table2[[#This Row],[Customer_ID]],Table1[Customer_ID],Table1[Customer_Name])</f>
        <v>Leanne Lockhart</v>
      </c>
    </row>
    <row r="769" spans="1:10" x14ac:dyDescent="0.35">
      <c r="A769" s="4">
        <v>40952</v>
      </c>
      <c r="B769" s="2">
        <v>10830</v>
      </c>
      <c r="C769" s="2">
        <v>211</v>
      </c>
      <c r="D769" s="2">
        <v>83</v>
      </c>
      <c r="F769" s="2">
        <v>1</v>
      </c>
      <c r="G769" s="2">
        <v>2</v>
      </c>
      <c r="H769" s="2">
        <v>4</v>
      </c>
      <c r="I769" s="2">
        <v>25</v>
      </c>
      <c r="J769" t="str">
        <f>_xlfn.XLOOKUP(Table2[[#This Row],[Customer_ID]],Table1[Customer_ID],Table1[Customer_Name])</f>
        <v>Lily Weatherford</v>
      </c>
    </row>
    <row r="770" spans="1:10" x14ac:dyDescent="0.35">
      <c r="A770" s="4">
        <v>40953</v>
      </c>
      <c r="B770" s="2">
        <v>10832</v>
      </c>
      <c r="C770" s="2">
        <v>109</v>
      </c>
      <c r="D770" s="2">
        <v>85</v>
      </c>
      <c r="F770" s="2">
        <v>1</v>
      </c>
      <c r="G770" s="2">
        <v>3</v>
      </c>
      <c r="H770" s="2">
        <v>377</v>
      </c>
      <c r="I770" s="2">
        <v>25</v>
      </c>
      <c r="J770" t="str">
        <f>_xlfn.XLOOKUP(Table2[[#This Row],[Customer_ID]],Table1[Customer_ID],Table1[Customer_Name])</f>
        <v>Lissette Layton</v>
      </c>
    </row>
    <row r="771" spans="1:10" x14ac:dyDescent="0.35">
      <c r="A771" s="4">
        <v>40953</v>
      </c>
      <c r="B771" s="2">
        <v>10832</v>
      </c>
      <c r="C771" s="2">
        <v>240</v>
      </c>
      <c r="D771" s="2">
        <v>85</v>
      </c>
      <c r="F771" s="2">
        <v>1</v>
      </c>
      <c r="G771" s="2">
        <v>1</v>
      </c>
      <c r="H771" s="2">
        <v>26</v>
      </c>
      <c r="I771" s="2">
        <v>25</v>
      </c>
      <c r="J771" t="str">
        <f>_xlfn.XLOOKUP(Table2[[#This Row],[Customer_ID]],Table1[Customer_ID],Table1[Customer_Name])</f>
        <v>Lissette Layton</v>
      </c>
    </row>
    <row r="772" spans="1:10" x14ac:dyDescent="0.35">
      <c r="A772" s="4">
        <v>40953</v>
      </c>
      <c r="B772" s="2">
        <v>10832</v>
      </c>
      <c r="C772" s="2">
        <v>342</v>
      </c>
      <c r="D772" s="2">
        <v>85</v>
      </c>
      <c r="F772" s="2">
        <v>1</v>
      </c>
      <c r="G772" s="2">
        <v>1</v>
      </c>
      <c r="H772" s="2">
        <v>4</v>
      </c>
      <c r="I772" s="2">
        <v>25</v>
      </c>
      <c r="J772" t="str">
        <f>_xlfn.XLOOKUP(Table2[[#This Row],[Customer_ID]],Table1[Customer_ID],Table1[Customer_Name])</f>
        <v>Lissette Layton</v>
      </c>
    </row>
    <row r="773" spans="1:10" x14ac:dyDescent="0.35">
      <c r="A773" s="4">
        <v>40953</v>
      </c>
      <c r="B773" s="2">
        <v>10832</v>
      </c>
      <c r="C773" s="2">
        <v>108</v>
      </c>
      <c r="D773" s="2">
        <v>85</v>
      </c>
      <c r="F773" s="2">
        <v>1</v>
      </c>
      <c r="G773" s="2">
        <v>4</v>
      </c>
      <c r="H773" s="2">
        <v>483</v>
      </c>
      <c r="I773" s="2">
        <v>25</v>
      </c>
      <c r="J773" t="str">
        <f>_xlfn.XLOOKUP(Table2[[#This Row],[Customer_ID]],Table1[Customer_ID],Table1[Customer_Name])</f>
        <v>Lissette Layton</v>
      </c>
    </row>
    <row r="774" spans="1:10" x14ac:dyDescent="0.35">
      <c r="A774" s="4">
        <v>40954</v>
      </c>
      <c r="B774" s="2">
        <v>10834</v>
      </c>
      <c r="C774" s="2">
        <v>107</v>
      </c>
      <c r="D774" s="2">
        <v>87</v>
      </c>
      <c r="F774" s="2">
        <v>1</v>
      </c>
      <c r="G774" s="2">
        <v>4</v>
      </c>
      <c r="H774" s="2">
        <v>628</v>
      </c>
      <c r="I774" s="2">
        <v>25</v>
      </c>
      <c r="J774" t="str">
        <f>_xlfn.XLOOKUP(Table2[[#This Row],[Customer_ID]],Table1[Customer_ID],Table1[Customer_Name])</f>
        <v>Lynnette Loyola</v>
      </c>
    </row>
    <row r="775" spans="1:10" x14ac:dyDescent="0.35">
      <c r="A775" s="4">
        <v>40954</v>
      </c>
      <c r="B775" s="2">
        <v>10834</v>
      </c>
      <c r="C775" s="2">
        <v>110</v>
      </c>
      <c r="D775" s="2">
        <v>87</v>
      </c>
      <c r="F775" s="2">
        <v>1</v>
      </c>
      <c r="G775" s="2">
        <v>8</v>
      </c>
      <c r="H775" s="2">
        <v>1101</v>
      </c>
      <c r="I775" s="2">
        <v>25</v>
      </c>
      <c r="J775" t="str">
        <f>_xlfn.XLOOKUP(Table2[[#This Row],[Customer_ID]],Table1[Customer_ID],Table1[Customer_Name])</f>
        <v>Lynnette Loyola</v>
      </c>
    </row>
    <row r="776" spans="1:10" x14ac:dyDescent="0.35">
      <c r="A776" s="4">
        <v>40955</v>
      </c>
      <c r="B776" s="2">
        <v>10836</v>
      </c>
      <c r="C776" s="2">
        <v>21</v>
      </c>
      <c r="D776" s="2">
        <v>89</v>
      </c>
      <c r="F776" s="2">
        <v>1</v>
      </c>
      <c r="G776" s="2">
        <v>1</v>
      </c>
      <c r="H776" s="2">
        <v>634</v>
      </c>
      <c r="I776" s="2">
        <v>25</v>
      </c>
      <c r="J776" t="str">
        <f>_xlfn.XLOOKUP(Table2[[#This Row],[Customer_ID]],Table1[Customer_ID],Table1[Customer_Name])</f>
        <v>Masako Moler</v>
      </c>
    </row>
    <row r="777" spans="1:10" x14ac:dyDescent="0.35">
      <c r="A777" s="4">
        <v>40955</v>
      </c>
      <c r="B777" s="2">
        <v>10836</v>
      </c>
      <c r="C777" s="2">
        <v>26</v>
      </c>
      <c r="D777" s="2">
        <v>89</v>
      </c>
      <c r="F777" s="2">
        <v>1</v>
      </c>
      <c r="G777" s="2">
        <v>3</v>
      </c>
      <c r="H777" s="2">
        <v>252</v>
      </c>
      <c r="I777" s="2">
        <v>25</v>
      </c>
      <c r="J777" t="str">
        <f>_xlfn.XLOOKUP(Table2[[#This Row],[Customer_ID]],Table1[Customer_ID],Table1[Customer_Name])</f>
        <v>Masako Moler</v>
      </c>
    </row>
    <row r="778" spans="1:10" x14ac:dyDescent="0.35">
      <c r="A778" s="4">
        <v>40955</v>
      </c>
      <c r="B778" s="2">
        <v>10836</v>
      </c>
      <c r="C778" s="2">
        <v>20</v>
      </c>
      <c r="D778" s="2">
        <v>89</v>
      </c>
      <c r="F778" s="2">
        <v>1</v>
      </c>
      <c r="G778" s="2">
        <v>2</v>
      </c>
      <c r="H778" s="2">
        <v>659</v>
      </c>
      <c r="I778" s="2">
        <v>25</v>
      </c>
      <c r="J778" t="str">
        <f>_xlfn.XLOOKUP(Table2[[#This Row],[Customer_ID]],Table1[Customer_ID],Table1[Customer_Name])</f>
        <v>Masako Moler</v>
      </c>
    </row>
    <row r="779" spans="1:10" x14ac:dyDescent="0.35">
      <c r="A779" s="4">
        <v>40955</v>
      </c>
      <c r="B779" s="2">
        <v>10836</v>
      </c>
      <c r="C779" s="2">
        <v>22</v>
      </c>
      <c r="D779" s="2">
        <v>89</v>
      </c>
      <c r="F779" s="2">
        <v>1</v>
      </c>
      <c r="G779" s="2">
        <v>3</v>
      </c>
      <c r="H779" s="2">
        <v>411</v>
      </c>
      <c r="I779" s="2">
        <v>25</v>
      </c>
      <c r="J779" t="str">
        <f>_xlfn.XLOOKUP(Table2[[#This Row],[Customer_ID]],Table1[Customer_ID],Table1[Customer_Name])</f>
        <v>Masako Moler</v>
      </c>
    </row>
    <row r="780" spans="1:10" x14ac:dyDescent="0.35">
      <c r="A780" s="4">
        <v>40955</v>
      </c>
      <c r="B780" s="2">
        <v>10836</v>
      </c>
      <c r="C780" s="2">
        <v>105</v>
      </c>
      <c r="D780" s="2">
        <v>89</v>
      </c>
      <c r="F780" s="2">
        <v>1</v>
      </c>
      <c r="G780" s="2">
        <v>5</v>
      </c>
      <c r="H780" s="2">
        <v>661</v>
      </c>
      <c r="I780" s="2">
        <v>25</v>
      </c>
      <c r="J780" t="str">
        <f>_xlfn.XLOOKUP(Table2[[#This Row],[Customer_ID]],Table1[Customer_ID],Table1[Customer_Name])</f>
        <v>Masako Moler</v>
      </c>
    </row>
    <row r="781" spans="1:10" x14ac:dyDescent="0.35">
      <c r="A781" s="4">
        <v>40958</v>
      </c>
      <c r="B781" s="2">
        <v>10838</v>
      </c>
      <c r="C781" s="2">
        <v>50</v>
      </c>
      <c r="D781" s="2">
        <v>91</v>
      </c>
      <c r="F781" s="2">
        <v>1</v>
      </c>
      <c r="G781" s="2">
        <v>6</v>
      </c>
      <c r="H781" s="2">
        <v>65</v>
      </c>
      <c r="I781" s="2">
        <v>25</v>
      </c>
      <c r="J781" t="str">
        <f>_xlfn.XLOOKUP(Table2[[#This Row],[Customer_ID]],Table1[Customer_ID],Table1[Customer_Name])</f>
        <v>Maybelle Bolt</v>
      </c>
    </row>
    <row r="782" spans="1:10" x14ac:dyDescent="0.35">
      <c r="A782" s="4">
        <v>40958</v>
      </c>
      <c r="B782" s="2">
        <v>10840</v>
      </c>
      <c r="C782" s="2">
        <v>321</v>
      </c>
      <c r="D782" s="2">
        <v>93</v>
      </c>
      <c r="F782" s="2">
        <v>1</v>
      </c>
      <c r="G782" s="2">
        <v>6</v>
      </c>
      <c r="H782" s="2">
        <v>5</v>
      </c>
      <c r="I782" s="2">
        <v>25</v>
      </c>
      <c r="J782" t="str">
        <f>_xlfn.XLOOKUP(Table2[[#This Row],[Customer_ID]],Table1[Customer_ID],Table1[Customer_Name])</f>
        <v>Mervin Chiodo</v>
      </c>
    </row>
    <row r="783" spans="1:10" x14ac:dyDescent="0.35">
      <c r="A783" s="4">
        <v>40958</v>
      </c>
      <c r="B783" s="2">
        <v>10838</v>
      </c>
      <c r="C783" s="2">
        <v>229</v>
      </c>
      <c r="D783" s="2">
        <v>91</v>
      </c>
      <c r="F783" s="2">
        <v>1</v>
      </c>
      <c r="G783" s="2">
        <v>8</v>
      </c>
      <c r="H783" s="2">
        <v>4</v>
      </c>
      <c r="I783" s="2">
        <v>25</v>
      </c>
      <c r="J783" t="str">
        <f>_xlfn.XLOOKUP(Table2[[#This Row],[Customer_ID]],Table1[Customer_ID],Table1[Customer_Name])</f>
        <v>Maybelle Bolt</v>
      </c>
    </row>
    <row r="784" spans="1:10" x14ac:dyDescent="0.35">
      <c r="A784" s="4">
        <v>40958</v>
      </c>
      <c r="B784" s="2">
        <v>10840</v>
      </c>
      <c r="C784" s="2">
        <v>410</v>
      </c>
      <c r="D784" s="2">
        <v>93</v>
      </c>
      <c r="F784" s="2">
        <v>1</v>
      </c>
      <c r="G784" s="2">
        <v>4</v>
      </c>
      <c r="H784" s="2">
        <v>16</v>
      </c>
      <c r="I784" s="2">
        <v>25</v>
      </c>
      <c r="J784" t="str">
        <f>_xlfn.XLOOKUP(Table2[[#This Row],[Customer_ID]],Table1[Customer_ID],Table1[Customer_Name])</f>
        <v>Mervin Chiodo</v>
      </c>
    </row>
    <row r="785" spans="1:10" x14ac:dyDescent="0.35">
      <c r="A785" s="4">
        <v>40958</v>
      </c>
      <c r="B785" s="2">
        <v>10838</v>
      </c>
      <c r="C785" s="2">
        <v>51</v>
      </c>
      <c r="D785" s="2">
        <v>91</v>
      </c>
      <c r="F785" s="2">
        <v>1</v>
      </c>
      <c r="G785" s="2">
        <v>2</v>
      </c>
      <c r="H785" s="2">
        <v>18</v>
      </c>
      <c r="I785" s="2">
        <v>25</v>
      </c>
      <c r="J785" t="str">
        <f>_xlfn.XLOOKUP(Table2[[#This Row],[Customer_ID]],Table1[Customer_ID],Table1[Customer_Name])</f>
        <v>Maybelle Bolt</v>
      </c>
    </row>
    <row r="786" spans="1:10" x14ac:dyDescent="0.35">
      <c r="A786" s="4">
        <v>40959</v>
      </c>
      <c r="B786" s="2">
        <v>10842</v>
      </c>
      <c r="C786" s="2">
        <v>277</v>
      </c>
      <c r="D786" s="2">
        <v>95</v>
      </c>
      <c r="F786" s="2">
        <v>1</v>
      </c>
      <c r="G786" s="2">
        <v>1</v>
      </c>
      <c r="H786" s="2">
        <v>2</v>
      </c>
      <c r="I786" s="2">
        <v>25</v>
      </c>
      <c r="J786" t="str">
        <f>_xlfn.XLOOKUP(Table2[[#This Row],[Customer_ID]],Table1[Customer_ID],Table1[Customer_Name])</f>
        <v>Michelle Madonia</v>
      </c>
    </row>
    <row r="787" spans="1:10" x14ac:dyDescent="0.35">
      <c r="A787" s="4">
        <v>40959</v>
      </c>
      <c r="B787" s="2">
        <v>10842</v>
      </c>
      <c r="C787" s="2">
        <v>303</v>
      </c>
      <c r="D787" s="2">
        <v>95</v>
      </c>
      <c r="F787" s="2">
        <v>1</v>
      </c>
      <c r="G787" s="2">
        <v>4</v>
      </c>
      <c r="H787" s="2">
        <v>3</v>
      </c>
      <c r="I787" s="2">
        <v>25</v>
      </c>
      <c r="J787" t="str">
        <f>_xlfn.XLOOKUP(Table2[[#This Row],[Customer_ID]],Table1[Customer_ID],Table1[Customer_Name])</f>
        <v>Michelle Madonia</v>
      </c>
    </row>
    <row r="788" spans="1:10" x14ac:dyDescent="0.35">
      <c r="A788" s="4">
        <v>40959</v>
      </c>
      <c r="B788" s="2">
        <v>10842</v>
      </c>
      <c r="C788" s="2">
        <v>209</v>
      </c>
      <c r="D788" s="2">
        <v>95</v>
      </c>
      <c r="F788" s="2">
        <v>1</v>
      </c>
      <c r="G788" s="2">
        <v>1</v>
      </c>
      <c r="H788" s="2">
        <v>11</v>
      </c>
      <c r="I788" s="2">
        <v>25</v>
      </c>
      <c r="J788" t="str">
        <f>_xlfn.XLOOKUP(Table2[[#This Row],[Customer_ID]],Table1[Customer_ID],Table1[Customer_Name])</f>
        <v>Michelle Madonia</v>
      </c>
    </row>
    <row r="789" spans="1:10" x14ac:dyDescent="0.35">
      <c r="A789" s="4">
        <v>40959</v>
      </c>
      <c r="B789" s="2">
        <v>10842</v>
      </c>
      <c r="C789" s="2">
        <v>304</v>
      </c>
      <c r="D789" s="2">
        <v>95</v>
      </c>
      <c r="F789" s="2">
        <v>1</v>
      </c>
      <c r="G789" s="2">
        <v>3</v>
      </c>
      <c r="H789" s="2">
        <v>3</v>
      </c>
      <c r="I789" s="2">
        <v>25</v>
      </c>
      <c r="J789" t="str">
        <f>_xlfn.XLOOKUP(Table2[[#This Row],[Customer_ID]],Table1[Customer_ID],Table1[Customer_Name])</f>
        <v>Michelle Madonia</v>
      </c>
    </row>
    <row r="790" spans="1:10" x14ac:dyDescent="0.35">
      <c r="A790" s="4">
        <v>40960</v>
      </c>
      <c r="B790" s="2">
        <v>10844</v>
      </c>
      <c r="C790" s="2">
        <v>334</v>
      </c>
      <c r="D790" s="2">
        <v>97</v>
      </c>
      <c r="F790" s="2">
        <v>1</v>
      </c>
      <c r="G790" s="2">
        <v>3</v>
      </c>
      <c r="H790" s="2">
        <v>4</v>
      </c>
      <c r="I790" s="2">
        <v>25</v>
      </c>
      <c r="J790" t="str">
        <f>_xlfn.XLOOKUP(Table2[[#This Row],[Customer_ID]],Table1[Customer_ID],Table1[Customer_Name])</f>
        <v>Mitchell Doughtie</v>
      </c>
    </row>
    <row r="791" spans="1:10" x14ac:dyDescent="0.35">
      <c r="A791" s="4">
        <v>40961</v>
      </c>
      <c r="B791" s="2">
        <v>10846</v>
      </c>
      <c r="C791" s="2">
        <v>269</v>
      </c>
      <c r="D791" s="2">
        <v>99</v>
      </c>
      <c r="F791" s="2">
        <v>1</v>
      </c>
      <c r="G791" s="2">
        <v>6</v>
      </c>
      <c r="H791" s="2">
        <v>3</v>
      </c>
      <c r="I791" s="2">
        <v>25</v>
      </c>
      <c r="J791" t="str">
        <f>_xlfn.XLOOKUP(Table2[[#This Row],[Customer_ID]],Table1[Customer_ID],Table1[Customer_Name])</f>
        <v>Nana Nolette</v>
      </c>
    </row>
    <row r="792" spans="1:10" x14ac:dyDescent="0.35">
      <c r="A792" s="4">
        <v>40961</v>
      </c>
      <c r="B792" s="2">
        <v>10846</v>
      </c>
      <c r="C792" s="2">
        <v>318</v>
      </c>
      <c r="D792" s="2">
        <v>99</v>
      </c>
      <c r="F792" s="2">
        <v>1</v>
      </c>
      <c r="G792" s="2">
        <v>1</v>
      </c>
      <c r="H792" s="2">
        <v>3</v>
      </c>
      <c r="I792" s="2">
        <v>25</v>
      </c>
      <c r="J792" t="str">
        <f>_xlfn.XLOOKUP(Table2[[#This Row],[Customer_ID]],Table1[Customer_ID],Table1[Customer_Name])</f>
        <v>Nana Nolette</v>
      </c>
    </row>
    <row r="793" spans="1:10" x14ac:dyDescent="0.35">
      <c r="A793" s="4">
        <v>40961</v>
      </c>
      <c r="B793" s="2">
        <v>10846</v>
      </c>
      <c r="C793" s="2">
        <v>262</v>
      </c>
      <c r="D793" s="2">
        <v>99</v>
      </c>
      <c r="F793" s="2">
        <v>1</v>
      </c>
      <c r="G793" s="2">
        <v>3</v>
      </c>
      <c r="H793" s="2">
        <v>3</v>
      </c>
      <c r="I793" s="2">
        <v>25</v>
      </c>
      <c r="J793" t="str">
        <f>_xlfn.XLOOKUP(Table2[[#This Row],[Customer_ID]],Table1[Customer_ID],Table1[Customer_Name])</f>
        <v>Nana Nolette</v>
      </c>
    </row>
    <row r="794" spans="1:10" x14ac:dyDescent="0.35">
      <c r="A794" s="4">
        <v>40962</v>
      </c>
      <c r="B794" s="2">
        <v>10850</v>
      </c>
      <c r="C794" s="2">
        <v>284</v>
      </c>
      <c r="D794" s="2">
        <v>3</v>
      </c>
      <c r="E794" s="2">
        <v>40</v>
      </c>
      <c r="F794" s="2">
        <v>1</v>
      </c>
      <c r="G794" s="2">
        <v>2</v>
      </c>
      <c r="H794" s="2">
        <v>9</v>
      </c>
      <c r="I794" s="2">
        <v>25</v>
      </c>
      <c r="J794" t="str">
        <f>_xlfn.XLOOKUP(Table2[[#This Row],[Customer_ID]],Table1[Customer_ID],Table1[Customer_Name])</f>
        <v>Alonzo Stoltz</v>
      </c>
    </row>
    <row r="795" spans="1:10" x14ac:dyDescent="0.35">
      <c r="A795" s="4">
        <v>40962</v>
      </c>
      <c r="B795" s="2">
        <v>10848</v>
      </c>
      <c r="C795" s="2">
        <v>199</v>
      </c>
      <c r="D795" s="2">
        <v>1</v>
      </c>
      <c r="E795" s="2">
        <v>93</v>
      </c>
      <c r="F795" s="2">
        <v>1</v>
      </c>
      <c r="G795" s="2">
        <v>3</v>
      </c>
      <c r="H795" s="2">
        <v>3</v>
      </c>
      <c r="I795" s="2">
        <v>25</v>
      </c>
      <c r="J795" t="str">
        <f>_xlfn.XLOOKUP(Table2[[#This Row],[Customer_ID]],Table1[Customer_ID],Table1[Customer_Name])</f>
        <v>Agatha Clauss</v>
      </c>
    </row>
    <row r="796" spans="1:10" x14ac:dyDescent="0.35">
      <c r="A796" s="4">
        <v>40962</v>
      </c>
      <c r="B796" s="2">
        <v>10850</v>
      </c>
      <c r="C796" s="2">
        <v>293</v>
      </c>
      <c r="D796" s="2">
        <v>3</v>
      </c>
      <c r="E796" s="2">
        <v>40</v>
      </c>
      <c r="F796" s="2">
        <v>1</v>
      </c>
      <c r="G796" s="2">
        <v>1</v>
      </c>
      <c r="H796" s="2">
        <v>2</v>
      </c>
      <c r="I796" s="2">
        <v>25</v>
      </c>
      <c r="J796" t="str">
        <f>_xlfn.XLOOKUP(Table2[[#This Row],[Customer_ID]],Table1[Customer_ID],Table1[Customer_Name])</f>
        <v>Alonzo Stoltz</v>
      </c>
    </row>
    <row r="797" spans="1:10" x14ac:dyDescent="0.35">
      <c r="A797" s="4">
        <v>40962</v>
      </c>
      <c r="B797" s="2">
        <v>10848</v>
      </c>
      <c r="C797" s="2">
        <v>132</v>
      </c>
      <c r="D797" s="2">
        <v>1</v>
      </c>
      <c r="E797" s="2">
        <v>93</v>
      </c>
      <c r="F797" s="2">
        <v>1</v>
      </c>
      <c r="G797" s="2">
        <v>2</v>
      </c>
      <c r="H797" s="2">
        <v>1221</v>
      </c>
      <c r="I797" s="2">
        <v>25</v>
      </c>
      <c r="J797" t="str">
        <f>_xlfn.XLOOKUP(Table2[[#This Row],[Customer_ID]],Table1[Customer_ID],Table1[Customer_Name])</f>
        <v>Agatha Clauss</v>
      </c>
    </row>
    <row r="798" spans="1:10" x14ac:dyDescent="0.35">
      <c r="A798" s="4">
        <v>40962</v>
      </c>
      <c r="B798" s="2">
        <v>10850</v>
      </c>
      <c r="C798" s="2">
        <v>352</v>
      </c>
      <c r="D798" s="2">
        <v>3</v>
      </c>
      <c r="E798" s="2">
        <v>40</v>
      </c>
      <c r="F798" s="2">
        <v>1</v>
      </c>
      <c r="G798" s="2">
        <v>1</v>
      </c>
      <c r="H798" s="2">
        <v>89</v>
      </c>
      <c r="I798" s="2">
        <v>25</v>
      </c>
      <c r="J798" t="str">
        <f>_xlfn.XLOOKUP(Table2[[#This Row],[Customer_ID]],Table1[Customer_ID],Table1[Customer_Name])</f>
        <v>Alonzo Stoltz</v>
      </c>
    </row>
    <row r="799" spans="1:10" x14ac:dyDescent="0.35">
      <c r="A799" s="4">
        <v>40965</v>
      </c>
      <c r="B799" s="2">
        <v>10852</v>
      </c>
      <c r="C799" s="2">
        <v>379</v>
      </c>
      <c r="D799" s="2">
        <v>5</v>
      </c>
      <c r="E799" s="2">
        <v>28</v>
      </c>
      <c r="F799" s="2">
        <v>1</v>
      </c>
      <c r="G799" s="2">
        <v>3</v>
      </c>
      <c r="H799" s="2">
        <v>4</v>
      </c>
      <c r="I799" s="2">
        <v>25</v>
      </c>
      <c r="J799" t="str">
        <f>_xlfn.XLOOKUP(Table2[[#This Row],[Customer_ID]],Table1[Customer_ID],Table1[Customer_Name])</f>
        <v>Anette Abdulla</v>
      </c>
    </row>
    <row r="800" spans="1:10" x14ac:dyDescent="0.35">
      <c r="A800" s="4">
        <v>40965</v>
      </c>
      <c r="B800" s="2">
        <v>10852</v>
      </c>
      <c r="C800" s="2">
        <v>375</v>
      </c>
      <c r="D800" s="2">
        <v>5</v>
      </c>
      <c r="E800" s="2">
        <v>28</v>
      </c>
      <c r="F800" s="2">
        <v>1</v>
      </c>
      <c r="G800" s="2">
        <v>8</v>
      </c>
      <c r="H800" s="2">
        <v>5</v>
      </c>
      <c r="I800" s="2">
        <v>25</v>
      </c>
      <c r="J800" t="str">
        <f>_xlfn.XLOOKUP(Table2[[#This Row],[Customer_ID]],Table1[Customer_ID],Table1[Customer_Name])</f>
        <v>Anette Abdulla</v>
      </c>
    </row>
    <row r="801" spans="1:10" x14ac:dyDescent="0.35">
      <c r="A801" s="4">
        <v>40965</v>
      </c>
      <c r="B801" s="2">
        <v>10852</v>
      </c>
      <c r="C801" s="2">
        <v>381</v>
      </c>
      <c r="D801" s="2">
        <v>5</v>
      </c>
      <c r="E801" s="2">
        <v>28</v>
      </c>
      <c r="F801" s="2">
        <v>1</v>
      </c>
      <c r="G801" s="2">
        <v>4</v>
      </c>
      <c r="H801" s="2">
        <v>10</v>
      </c>
      <c r="I801" s="2">
        <v>25</v>
      </c>
      <c r="J801" t="str">
        <f>_xlfn.XLOOKUP(Table2[[#This Row],[Customer_ID]],Table1[Customer_ID],Table1[Customer_Name])</f>
        <v>Anette Abdulla</v>
      </c>
    </row>
    <row r="802" spans="1:10" x14ac:dyDescent="0.35">
      <c r="A802" s="4">
        <v>40966</v>
      </c>
      <c r="B802" s="2">
        <v>10854</v>
      </c>
      <c r="C802" s="2">
        <v>374</v>
      </c>
      <c r="D802" s="2">
        <v>7</v>
      </c>
      <c r="E802" s="2">
        <v>32</v>
      </c>
      <c r="F802" s="2">
        <v>1</v>
      </c>
      <c r="G802" s="2">
        <v>6</v>
      </c>
      <c r="H802" s="2">
        <v>9</v>
      </c>
      <c r="I802" s="2">
        <v>25</v>
      </c>
      <c r="J802" t="str">
        <f>_xlfn.XLOOKUP(Table2[[#This Row],[Customer_ID]],Table1[Customer_ID],Table1[Customer_Name])</f>
        <v>Ardath Peaslee</v>
      </c>
    </row>
    <row r="803" spans="1:10" x14ac:dyDescent="0.35">
      <c r="A803" s="4">
        <v>40966</v>
      </c>
      <c r="B803" s="2">
        <v>10854</v>
      </c>
      <c r="C803" s="2">
        <v>377</v>
      </c>
      <c r="D803" s="2">
        <v>7</v>
      </c>
      <c r="E803" s="2">
        <v>32</v>
      </c>
      <c r="F803" s="2">
        <v>1</v>
      </c>
      <c r="G803" s="2">
        <v>3</v>
      </c>
      <c r="H803" s="2">
        <v>3</v>
      </c>
      <c r="I803" s="2">
        <v>25</v>
      </c>
      <c r="J803" t="str">
        <f>_xlfn.XLOOKUP(Table2[[#This Row],[Customer_ID]],Table1[Customer_ID],Table1[Customer_Name])</f>
        <v>Ardath Peaslee</v>
      </c>
    </row>
    <row r="804" spans="1:10" x14ac:dyDescent="0.35">
      <c r="A804" s="4">
        <v>40967</v>
      </c>
      <c r="B804" s="2">
        <v>10856</v>
      </c>
      <c r="C804" s="2">
        <v>268</v>
      </c>
      <c r="D804" s="2">
        <v>9</v>
      </c>
      <c r="E804" s="2">
        <v>97</v>
      </c>
      <c r="F804" s="2">
        <v>1</v>
      </c>
      <c r="G804" s="2">
        <v>5</v>
      </c>
      <c r="H804" s="2">
        <v>3</v>
      </c>
      <c r="I804" s="2">
        <v>25</v>
      </c>
      <c r="J804" t="str">
        <f>_xlfn.XLOOKUP(Table2[[#This Row],[Customer_ID]],Table1[Customer_ID],Table1[Customer_Name])</f>
        <v>Bernarda Caughey</v>
      </c>
    </row>
    <row r="805" spans="1:10" x14ac:dyDescent="0.35">
      <c r="A805" s="4">
        <v>40967</v>
      </c>
      <c r="B805" s="2">
        <v>10856</v>
      </c>
      <c r="C805" s="2">
        <v>271</v>
      </c>
      <c r="D805" s="2">
        <v>9</v>
      </c>
      <c r="E805" s="2">
        <v>97</v>
      </c>
      <c r="F805" s="2">
        <v>1</v>
      </c>
      <c r="G805" s="2">
        <v>4</v>
      </c>
      <c r="H805" s="2">
        <v>3</v>
      </c>
      <c r="I805" s="2">
        <v>25</v>
      </c>
      <c r="J805" t="str">
        <f>_xlfn.XLOOKUP(Table2[[#This Row],[Customer_ID]],Table1[Customer_ID],Table1[Customer_Name])</f>
        <v>Bernarda Caughey</v>
      </c>
    </row>
    <row r="806" spans="1:10" x14ac:dyDescent="0.35">
      <c r="A806" s="4">
        <v>40968</v>
      </c>
      <c r="B806" s="2">
        <v>10858</v>
      </c>
      <c r="C806" s="2">
        <v>270</v>
      </c>
      <c r="D806" s="2">
        <v>11</v>
      </c>
      <c r="E806" s="2">
        <v>78</v>
      </c>
      <c r="F806" s="2">
        <v>1</v>
      </c>
      <c r="G806" s="2">
        <v>2</v>
      </c>
      <c r="H806" s="2">
        <v>3</v>
      </c>
      <c r="I806" s="2">
        <v>25</v>
      </c>
      <c r="J806" t="str">
        <f>_xlfn.XLOOKUP(Table2[[#This Row],[Customer_ID]],Table1[Customer_ID],Table1[Customer_Name])</f>
        <v>Bonita Honaker</v>
      </c>
    </row>
    <row r="807" spans="1:10" x14ac:dyDescent="0.35">
      <c r="A807" s="4">
        <v>40968</v>
      </c>
      <c r="B807" s="2">
        <v>10860</v>
      </c>
      <c r="C807" s="2">
        <v>235</v>
      </c>
      <c r="D807" s="2">
        <v>13</v>
      </c>
      <c r="E807" s="2">
        <v>30</v>
      </c>
      <c r="F807" s="2">
        <v>1</v>
      </c>
      <c r="G807" s="2">
        <v>9</v>
      </c>
      <c r="H807" s="2">
        <v>27</v>
      </c>
      <c r="I807" s="2">
        <v>25</v>
      </c>
      <c r="J807" t="str">
        <f>_xlfn.XLOOKUP(Table2[[#This Row],[Customer_ID]],Table1[Customer_ID],Table1[Customer_Name])</f>
        <v>Bryant Ertel</v>
      </c>
    </row>
    <row r="808" spans="1:10" x14ac:dyDescent="0.35">
      <c r="A808" s="4">
        <v>40968</v>
      </c>
      <c r="B808" s="2">
        <v>10858</v>
      </c>
      <c r="C808" s="2">
        <v>424</v>
      </c>
      <c r="D808" s="2">
        <v>11</v>
      </c>
      <c r="E808" s="2">
        <v>78</v>
      </c>
      <c r="F808" s="2">
        <v>1</v>
      </c>
      <c r="G808" s="2">
        <v>2</v>
      </c>
      <c r="H808" s="2">
        <v>12</v>
      </c>
      <c r="I808" s="2">
        <v>25</v>
      </c>
      <c r="J808" t="str">
        <f>_xlfn.XLOOKUP(Table2[[#This Row],[Customer_ID]],Table1[Customer_ID],Table1[Customer_Name])</f>
        <v>Bonita Honaker</v>
      </c>
    </row>
    <row r="809" spans="1:10" x14ac:dyDescent="0.35">
      <c r="A809" s="4">
        <v>40968</v>
      </c>
      <c r="B809" s="2">
        <v>10858</v>
      </c>
      <c r="C809" s="2">
        <v>193</v>
      </c>
      <c r="D809" s="2">
        <v>11</v>
      </c>
      <c r="E809" s="2">
        <v>78</v>
      </c>
      <c r="F809" s="2">
        <v>1</v>
      </c>
      <c r="G809" s="2">
        <v>6</v>
      </c>
      <c r="H809" s="2">
        <v>5</v>
      </c>
      <c r="I809" s="2">
        <v>25</v>
      </c>
      <c r="J809" t="str">
        <f>_xlfn.XLOOKUP(Table2[[#This Row],[Customer_ID]],Table1[Customer_ID],Table1[Customer_Name])</f>
        <v>Bonita Honaker</v>
      </c>
    </row>
    <row r="810" spans="1:10" x14ac:dyDescent="0.35">
      <c r="A810" s="4">
        <v>40968</v>
      </c>
      <c r="B810" s="2">
        <v>10860</v>
      </c>
      <c r="C810" s="2">
        <v>213</v>
      </c>
      <c r="D810" s="2">
        <v>13</v>
      </c>
      <c r="E810" s="2">
        <v>30</v>
      </c>
      <c r="F810" s="2">
        <v>1</v>
      </c>
      <c r="G810" s="2">
        <v>5</v>
      </c>
      <c r="H810" s="2">
        <v>2</v>
      </c>
      <c r="I810" s="2">
        <v>25</v>
      </c>
      <c r="J810" t="str">
        <f>_xlfn.XLOOKUP(Table2[[#This Row],[Customer_ID]],Table1[Customer_ID],Table1[Customer_Name])</f>
        <v>Bryant Ertel</v>
      </c>
    </row>
    <row r="811" spans="1:10" x14ac:dyDescent="0.35">
      <c r="A811" s="4">
        <v>40969</v>
      </c>
      <c r="B811" s="2">
        <v>10862</v>
      </c>
      <c r="C811" s="2">
        <v>265</v>
      </c>
      <c r="D811" s="2">
        <v>15</v>
      </c>
      <c r="E811" s="2">
        <v>13</v>
      </c>
      <c r="F811" s="2">
        <v>1</v>
      </c>
      <c r="G811" s="2">
        <v>4</v>
      </c>
      <c r="H811" s="2">
        <v>2</v>
      </c>
      <c r="I811" s="2">
        <v>25</v>
      </c>
      <c r="J811" t="str">
        <f>_xlfn.XLOOKUP(Table2[[#This Row],[Customer_ID]],Table1[Customer_ID],Table1[Customer_Name])</f>
        <v>Caryn Conry</v>
      </c>
    </row>
    <row r="812" spans="1:10" x14ac:dyDescent="0.35">
      <c r="A812" s="4">
        <v>40969</v>
      </c>
      <c r="B812" s="2">
        <v>10862</v>
      </c>
      <c r="C812" s="2">
        <v>220</v>
      </c>
      <c r="D812" s="2">
        <v>15</v>
      </c>
      <c r="E812" s="2">
        <v>13</v>
      </c>
      <c r="F812" s="2">
        <v>1</v>
      </c>
      <c r="G812" s="2">
        <v>3</v>
      </c>
      <c r="H812" s="2">
        <v>5</v>
      </c>
      <c r="I812" s="2">
        <v>25</v>
      </c>
      <c r="J812" t="str">
        <f>_xlfn.XLOOKUP(Table2[[#This Row],[Customer_ID]],Table1[Customer_ID],Table1[Customer_Name])</f>
        <v>Caryn Conry</v>
      </c>
    </row>
    <row r="813" spans="1:10" x14ac:dyDescent="0.35">
      <c r="A813" s="4">
        <v>40972</v>
      </c>
      <c r="B813" s="2">
        <v>10864</v>
      </c>
      <c r="C813" s="2">
        <v>274</v>
      </c>
      <c r="D813" s="2">
        <v>17</v>
      </c>
      <c r="E813" s="2">
        <v>21</v>
      </c>
      <c r="F813" s="2">
        <v>1</v>
      </c>
      <c r="G813" s="2">
        <v>1</v>
      </c>
      <c r="H813" s="2">
        <v>3</v>
      </c>
      <c r="I813" s="2">
        <v>25</v>
      </c>
      <c r="J813" t="str">
        <f>_xlfn.XLOOKUP(Table2[[#This Row],[Customer_ID]],Table1[Customer_ID],Table1[Customer_Name])</f>
        <v>Cecelia Beeler</v>
      </c>
    </row>
    <row r="814" spans="1:10" x14ac:dyDescent="0.35">
      <c r="A814" s="4">
        <v>40972</v>
      </c>
      <c r="B814" s="2">
        <v>10864</v>
      </c>
      <c r="C814" s="2">
        <v>276</v>
      </c>
      <c r="D814" s="2">
        <v>17</v>
      </c>
      <c r="E814" s="2">
        <v>21</v>
      </c>
      <c r="F814" s="2">
        <v>1</v>
      </c>
      <c r="G814" s="2">
        <v>2</v>
      </c>
      <c r="H814" s="2">
        <v>3</v>
      </c>
      <c r="I814" s="2">
        <v>25</v>
      </c>
      <c r="J814" t="str">
        <f>_xlfn.XLOOKUP(Table2[[#This Row],[Customer_ID]],Table1[Customer_ID],Table1[Customer_Name])</f>
        <v>Cecelia Beeler</v>
      </c>
    </row>
    <row r="815" spans="1:10" x14ac:dyDescent="0.35">
      <c r="A815" s="4">
        <v>40973</v>
      </c>
      <c r="B815" s="2">
        <v>10866</v>
      </c>
      <c r="C815" s="2">
        <v>295</v>
      </c>
      <c r="D815" s="2">
        <v>19</v>
      </c>
      <c r="E815" s="2">
        <v>57</v>
      </c>
      <c r="F815" s="2">
        <v>1</v>
      </c>
      <c r="G815" s="2">
        <v>3</v>
      </c>
      <c r="H815" s="2">
        <v>3</v>
      </c>
      <c r="I815" s="2">
        <v>25</v>
      </c>
      <c r="J815" t="str">
        <f>_xlfn.XLOOKUP(Table2[[#This Row],[Customer_ID]],Table1[Customer_ID],Table1[Customer_Name])</f>
        <v>Charlyn Sanroman</v>
      </c>
    </row>
    <row r="816" spans="1:10" x14ac:dyDescent="0.35">
      <c r="A816" s="4">
        <v>40973</v>
      </c>
      <c r="B816" s="2">
        <v>10866</v>
      </c>
      <c r="C816" s="2">
        <v>275</v>
      </c>
      <c r="D816" s="2">
        <v>19</v>
      </c>
      <c r="E816" s="2">
        <v>57</v>
      </c>
      <c r="F816" s="2">
        <v>1</v>
      </c>
      <c r="G816" s="2">
        <v>3</v>
      </c>
      <c r="H816" s="2">
        <v>3</v>
      </c>
      <c r="I816" s="2">
        <v>25</v>
      </c>
      <c r="J816" t="str">
        <f>_xlfn.XLOOKUP(Table2[[#This Row],[Customer_ID]],Table1[Customer_ID],Table1[Customer_Name])</f>
        <v>Charlyn Sanroman</v>
      </c>
    </row>
    <row r="817" spans="1:10" x14ac:dyDescent="0.35">
      <c r="A817" s="4">
        <v>40973</v>
      </c>
      <c r="B817" s="2">
        <v>10866</v>
      </c>
      <c r="C817" s="2">
        <v>201</v>
      </c>
      <c r="D817" s="2">
        <v>19</v>
      </c>
      <c r="E817" s="2">
        <v>57</v>
      </c>
      <c r="F817" s="2">
        <v>1</v>
      </c>
      <c r="G817" s="2">
        <v>1</v>
      </c>
      <c r="H817" s="2">
        <v>4</v>
      </c>
      <c r="I817" s="2">
        <v>25</v>
      </c>
      <c r="J817" t="str">
        <f>_xlfn.XLOOKUP(Table2[[#This Row],[Customer_ID]],Table1[Customer_ID],Table1[Customer_Name])</f>
        <v>Charlyn Sanroman</v>
      </c>
    </row>
    <row r="818" spans="1:10" x14ac:dyDescent="0.35">
      <c r="A818" s="4">
        <v>40974</v>
      </c>
      <c r="B818" s="2">
        <v>10868</v>
      </c>
      <c r="C818" s="2">
        <v>134</v>
      </c>
      <c r="D818" s="2">
        <v>21</v>
      </c>
      <c r="E818" s="2">
        <v>61</v>
      </c>
      <c r="F818" s="2">
        <v>1</v>
      </c>
      <c r="G818" s="2">
        <v>1</v>
      </c>
      <c r="H818" s="2">
        <v>90</v>
      </c>
      <c r="I818" s="2">
        <v>25</v>
      </c>
      <c r="J818" t="str">
        <f>_xlfn.XLOOKUP(Table2[[#This Row],[Customer_ID]],Table1[Customer_ID],Table1[Customer_Name])</f>
        <v>Clemencia Gwyn</v>
      </c>
    </row>
    <row r="819" spans="1:10" x14ac:dyDescent="0.35">
      <c r="A819" s="4">
        <v>40974</v>
      </c>
      <c r="B819" s="2">
        <v>10868</v>
      </c>
      <c r="C819" s="2">
        <v>148</v>
      </c>
      <c r="D819" s="2">
        <v>21</v>
      </c>
      <c r="E819" s="2">
        <v>61</v>
      </c>
      <c r="F819" s="2">
        <v>1</v>
      </c>
      <c r="G819" s="2">
        <v>2</v>
      </c>
      <c r="H819" s="2">
        <v>444</v>
      </c>
      <c r="I819" s="2">
        <v>25</v>
      </c>
      <c r="J819" t="str">
        <f>_xlfn.XLOOKUP(Table2[[#This Row],[Customer_ID]],Table1[Customer_ID],Table1[Customer_Name])</f>
        <v>Clemencia Gwyn</v>
      </c>
    </row>
    <row r="820" spans="1:10" x14ac:dyDescent="0.35">
      <c r="A820" s="4">
        <v>40974</v>
      </c>
      <c r="B820" s="2">
        <v>10870</v>
      </c>
      <c r="C820" s="2">
        <v>163</v>
      </c>
      <c r="D820" s="2">
        <v>23</v>
      </c>
      <c r="E820" s="2">
        <v>80</v>
      </c>
      <c r="F820" s="2">
        <v>1</v>
      </c>
      <c r="G820" s="2">
        <v>2</v>
      </c>
      <c r="H820" s="2">
        <v>2533</v>
      </c>
      <c r="I820" s="2">
        <v>25</v>
      </c>
      <c r="J820" t="str">
        <f>_xlfn.XLOOKUP(Table2[[#This Row],[Customer_ID]],Table1[Customer_ID],Table1[Customer_Name])</f>
        <v>Collette Romain</v>
      </c>
    </row>
    <row r="821" spans="1:10" x14ac:dyDescent="0.35">
      <c r="A821" s="4">
        <v>40974</v>
      </c>
      <c r="B821" s="2">
        <v>10868</v>
      </c>
      <c r="C821" s="2">
        <v>136</v>
      </c>
      <c r="D821" s="2">
        <v>21</v>
      </c>
      <c r="E821" s="2">
        <v>61</v>
      </c>
      <c r="F821" s="2">
        <v>1</v>
      </c>
      <c r="G821" s="2">
        <v>2</v>
      </c>
      <c r="H821" s="2">
        <v>90</v>
      </c>
      <c r="I821" s="2">
        <v>25</v>
      </c>
      <c r="J821" t="str">
        <f>_xlfn.XLOOKUP(Table2[[#This Row],[Customer_ID]],Table1[Customer_ID],Table1[Customer_Name])</f>
        <v>Clemencia Gwyn</v>
      </c>
    </row>
    <row r="822" spans="1:10" x14ac:dyDescent="0.35">
      <c r="A822" s="4">
        <v>40974</v>
      </c>
      <c r="B822" s="2">
        <v>10870</v>
      </c>
      <c r="C822" s="2">
        <v>154</v>
      </c>
      <c r="D822" s="2">
        <v>23</v>
      </c>
      <c r="E822" s="2">
        <v>80</v>
      </c>
      <c r="F822" s="2">
        <v>1</v>
      </c>
      <c r="G822" s="2">
        <v>6</v>
      </c>
      <c r="H822" s="2">
        <v>1079</v>
      </c>
      <c r="I822" s="2">
        <v>25</v>
      </c>
      <c r="J822" t="str">
        <f>_xlfn.XLOOKUP(Table2[[#This Row],[Customer_ID]],Table1[Customer_ID],Table1[Customer_Name])</f>
        <v>Collette Romain</v>
      </c>
    </row>
    <row r="823" spans="1:10" x14ac:dyDescent="0.35">
      <c r="A823" s="4">
        <v>40975</v>
      </c>
      <c r="B823" s="2">
        <v>10872</v>
      </c>
      <c r="C823" s="2">
        <v>34</v>
      </c>
      <c r="D823" s="2">
        <v>25</v>
      </c>
      <c r="E823" s="2">
        <v>71</v>
      </c>
      <c r="F823" s="2">
        <v>1</v>
      </c>
      <c r="G823" s="2">
        <v>2</v>
      </c>
      <c r="H823" s="2">
        <v>9</v>
      </c>
      <c r="I823" s="2">
        <v>25</v>
      </c>
      <c r="J823" t="str">
        <f>_xlfn.XLOOKUP(Table2[[#This Row],[Customer_ID]],Table1[Customer_ID],Table1[Customer_Name])</f>
        <v>Cristy Claire</v>
      </c>
    </row>
    <row r="824" spans="1:10" x14ac:dyDescent="0.35">
      <c r="A824" s="4">
        <v>40975</v>
      </c>
      <c r="B824" s="2">
        <v>10872</v>
      </c>
      <c r="C824" s="2">
        <v>429</v>
      </c>
      <c r="D824" s="2">
        <v>25</v>
      </c>
      <c r="E824" s="2">
        <v>71</v>
      </c>
      <c r="F824" s="2">
        <v>1</v>
      </c>
      <c r="G824" s="2">
        <v>2</v>
      </c>
      <c r="H824" s="2">
        <v>14</v>
      </c>
      <c r="I824" s="2">
        <v>25</v>
      </c>
      <c r="J824" t="str">
        <f>_xlfn.XLOOKUP(Table2[[#This Row],[Customer_ID]],Table1[Customer_ID],Table1[Customer_Name])</f>
        <v>Cristy Claire</v>
      </c>
    </row>
    <row r="825" spans="1:10" x14ac:dyDescent="0.35">
      <c r="A825" s="4">
        <v>40975</v>
      </c>
      <c r="B825" s="2">
        <v>10872</v>
      </c>
      <c r="C825" s="2">
        <v>19</v>
      </c>
      <c r="D825" s="2">
        <v>25</v>
      </c>
      <c r="E825" s="2">
        <v>71</v>
      </c>
      <c r="F825" s="2">
        <v>1</v>
      </c>
      <c r="G825" s="2">
        <v>1</v>
      </c>
      <c r="H825" s="2">
        <v>129</v>
      </c>
      <c r="I825" s="2">
        <v>25</v>
      </c>
      <c r="J825" t="str">
        <f>_xlfn.XLOOKUP(Table2[[#This Row],[Customer_ID]],Table1[Customer_ID],Table1[Customer_Name])</f>
        <v>Cristy Claire</v>
      </c>
    </row>
    <row r="826" spans="1:10" x14ac:dyDescent="0.35">
      <c r="A826" s="4">
        <v>40975</v>
      </c>
      <c r="B826" s="2">
        <v>10872</v>
      </c>
      <c r="C826" s="2">
        <v>433</v>
      </c>
      <c r="D826" s="2">
        <v>25</v>
      </c>
      <c r="E826" s="2">
        <v>71</v>
      </c>
      <c r="F826" s="2">
        <v>1</v>
      </c>
      <c r="G826" s="2">
        <v>6</v>
      </c>
      <c r="H826" s="2">
        <v>14</v>
      </c>
      <c r="I826" s="2">
        <v>25</v>
      </c>
      <c r="J826" t="str">
        <f>_xlfn.XLOOKUP(Table2[[#This Row],[Customer_ID]],Table1[Customer_ID],Table1[Customer_Name])</f>
        <v>Cristy Claire</v>
      </c>
    </row>
    <row r="827" spans="1:10" x14ac:dyDescent="0.35">
      <c r="A827" s="4">
        <v>40976</v>
      </c>
      <c r="B827" s="2">
        <v>10874</v>
      </c>
      <c r="C827" s="2">
        <v>68</v>
      </c>
      <c r="D827" s="2">
        <v>27</v>
      </c>
      <c r="E827" s="2">
        <v>56</v>
      </c>
      <c r="F827" s="2">
        <v>1</v>
      </c>
      <c r="G827" s="2">
        <v>5</v>
      </c>
      <c r="H827" s="2">
        <v>23</v>
      </c>
      <c r="I827" s="2">
        <v>25</v>
      </c>
      <c r="J827" t="str">
        <f>_xlfn.XLOOKUP(Table2[[#This Row],[Customer_ID]],Table1[Customer_ID],Table1[Customer_Name])</f>
        <v>Daniel Emmerich</v>
      </c>
    </row>
    <row r="828" spans="1:10" x14ac:dyDescent="0.35">
      <c r="A828" s="4">
        <v>40979</v>
      </c>
      <c r="B828" s="2">
        <v>10876</v>
      </c>
      <c r="C828" s="2">
        <v>13</v>
      </c>
      <c r="D828" s="2">
        <v>29</v>
      </c>
      <c r="E828" s="2">
        <v>83</v>
      </c>
      <c r="F828" s="2">
        <v>1</v>
      </c>
      <c r="G828" s="2">
        <v>9</v>
      </c>
      <c r="H828" s="2">
        <v>446</v>
      </c>
      <c r="I828" s="2">
        <v>25</v>
      </c>
      <c r="J828" t="str">
        <f>_xlfn.XLOOKUP(Table2[[#This Row],[Customer_ID]],Table1[Customer_ID],Table1[Customer_Name])</f>
        <v>Deneen Client</v>
      </c>
    </row>
    <row r="829" spans="1:10" x14ac:dyDescent="0.35">
      <c r="A829" s="4">
        <v>40979</v>
      </c>
      <c r="B829" s="2">
        <v>10876</v>
      </c>
      <c r="C829" s="2">
        <v>12</v>
      </c>
      <c r="D829" s="2">
        <v>29</v>
      </c>
      <c r="E829" s="2">
        <v>83</v>
      </c>
      <c r="F829" s="2">
        <v>1</v>
      </c>
      <c r="G829" s="2">
        <v>4</v>
      </c>
      <c r="H829" s="2">
        <v>592</v>
      </c>
      <c r="I829" s="2">
        <v>25</v>
      </c>
      <c r="J829" t="str">
        <f>_xlfn.XLOOKUP(Table2[[#This Row],[Customer_ID]],Table1[Customer_ID],Table1[Customer_Name])</f>
        <v>Deneen Client</v>
      </c>
    </row>
    <row r="830" spans="1:10" x14ac:dyDescent="0.35">
      <c r="A830" s="4">
        <v>40980</v>
      </c>
      <c r="B830" s="2">
        <v>10880</v>
      </c>
      <c r="C830" s="2">
        <v>408</v>
      </c>
      <c r="D830" s="2">
        <v>33</v>
      </c>
      <c r="E830" s="2">
        <v>29</v>
      </c>
      <c r="F830" s="2">
        <v>1</v>
      </c>
      <c r="G830" s="2">
        <v>1</v>
      </c>
      <c r="H830" s="2">
        <v>20</v>
      </c>
      <c r="I830" s="2">
        <v>25</v>
      </c>
      <c r="J830" t="str">
        <f>_xlfn.XLOOKUP(Table2[[#This Row],[Customer_ID]],Table1[Customer_ID],Table1[Customer_Name])</f>
        <v>Douglas Swinson</v>
      </c>
    </row>
    <row r="831" spans="1:10" x14ac:dyDescent="0.35">
      <c r="A831" s="4">
        <v>40980</v>
      </c>
      <c r="B831" s="2">
        <v>10880</v>
      </c>
      <c r="C831" s="2">
        <v>145</v>
      </c>
      <c r="D831" s="2">
        <v>33</v>
      </c>
      <c r="E831" s="2">
        <v>29</v>
      </c>
      <c r="F831" s="2">
        <v>1</v>
      </c>
      <c r="G831" s="2">
        <v>6</v>
      </c>
      <c r="H831" s="2">
        <v>66</v>
      </c>
      <c r="I831" s="2">
        <v>25</v>
      </c>
      <c r="J831" t="str">
        <f>_xlfn.XLOOKUP(Table2[[#This Row],[Customer_ID]],Table1[Customer_ID],Table1[Customer_Name])</f>
        <v>Douglas Swinson</v>
      </c>
    </row>
    <row r="832" spans="1:10" x14ac:dyDescent="0.35">
      <c r="A832" s="4">
        <v>40980</v>
      </c>
      <c r="B832" s="2">
        <v>10880</v>
      </c>
      <c r="C832" s="2">
        <v>308</v>
      </c>
      <c r="D832" s="2">
        <v>33</v>
      </c>
      <c r="E832" s="2">
        <v>29</v>
      </c>
      <c r="F832" s="2">
        <v>1</v>
      </c>
      <c r="G832" s="2">
        <v>3</v>
      </c>
      <c r="H832" s="2">
        <v>29</v>
      </c>
      <c r="I832" s="2">
        <v>25</v>
      </c>
      <c r="J832" t="str">
        <f>_xlfn.XLOOKUP(Table2[[#This Row],[Customer_ID]],Table1[Customer_ID],Table1[Customer_Name])</f>
        <v>Douglas Swinson</v>
      </c>
    </row>
    <row r="833" spans="1:10" x14ac:dyDescent="0.35">
      <c r="A833" s="4">
        <v>40980</v>
      </c>
      <c r="B833" s="2">
        <v>10878</v>
      </c>
      <c r="C833" s="2">
        <v>36</v>
      </c>
      <c r="D833" s="2">
        <v>31</v>
      </c>
      <c r="E833" s="2">
        <v>56</v>
      </c>
      <c r="F833" s="2">
        <v>1</v>
      </c>
      <c r="G833" s="2">
        <v>4</v>
      </c>
      <c r="H833" s="2">
        <v>10</v>
      </c>
      <c r="I833" s="2">
        <v>25</v>
      </c>
      <c r="J833" t="str">
        <f>_xlfn.XLOOKUP(Table2[[#This Row],[Customer_ID]],Table1[Customer_ID],Table1[Customer_Name])</f>
        <v>Dona Kinkade</v>
      </c>
    </row>
    <row r="834" spans="1:10" x14ac:dyDescent="0.35">
      <c r="A834" s="4">
        <v>40981</v>
      </c>
      <c r="B834" s="2">
        <v>10882</v>
      </c>
      <c r="C834" s="2">
        <v>174</v>
      </c>
      <c r="D834" s="2">
        <v>35</v>
      </c>
      <c r="E834" s="2">
        <v>5</v>
      </c>
      <c r="F834" s="2">
        <v>1</v>
      </c>
      <c r="G834" s="2">
        <v>2</v>
      </c>
      <c r="H834" s="2">
        <v>1486</v>
      </c>
      <c r="I834" s="2">
        <v>25</v>
      </c>
      <c r="J834" t="str">
        <f>_xlfn.XLOOKUP(Table2[[#This Row],[Customer_ID]],Table1[Customer_ID],Table1[Customer_Name])</f>
        <v>Dung Do</v>
      </c>
    </row>
    <row r="835" spans="1:10" x14ac:dyDescent="0.35">
      <c r="A835" s="4">
        <v>40981</v>
      </c>
      <c r="B835" s="2">
        <v>10882</v>
      </c>
      <c r="C835" s="2">
        <v>435</v>
      </c>
      <c r="D835" s="2">
        <v>35</v>
      </c>
      <c r="E835" s="2">
        <v>5</v>
      </c>
      <c r="F835" s="2">
        <v>1</v>
      </c>
      <c r="G835" s="2">
        <v>5</v>
      </c>
      <c r="H835" s="2">
        <v>10</v>
      </c>
      <c r="I835" s="2">
        <v>25</v>
      </c>
      <c r="J835" t="str">
        <f>_xlfn.XLOOKUP(Table2[[#This Row],[Customer_ID]],Table1[Customer_ID],Table1[Customer_Name])</f>
        <v>Dung Do</v>
      </c>
    </row>
    <row r="836" spans="1:10" x14ac:dyDescent="0.35">
      <c r="A836" s="4">
        <v>40981</v>
      </c>
      <c r="B836" s="2">
        <v>10882</v>
      </c>
      <c r="C836" s="2">
        <v>167</v>
      </c>
      <c r="D836" s="2">
        <v>35</v>
      </c>
      <c r="E836" s="2">
        <v>5</v>
      </c>
      <c r="F836" s="2">
        <v>1</v>
      </c>
      <c r="G836" s="2">
        <v>1</v>
      </c>
      <c r="H836" s="2">
        <v>278</v>
      </c>
      <c r="I836" s="2">
        <v>25</v>
      </c>
      <c r="J836" t="str">
        <f>_xlfn.XLOOKUP(Table2[[#This Row],[Customer_ID]],Table1[Customer_ID],Table1[Customer_Name])</f>
        <v>Dung Do</v>
      </c>
    </row>
    <row r="837" spans="1:10" x14ac:dyDescent="0.35">
      <c r="A837" s="4">
        <v>40982</v>
      </c>
      <c r="B837" s="2">
        <v>10884</v>
      </c>
      <c r="C837" s="2">
        <v>135</v>
      </c>
      <c r="D837" s="2">
        <v>37</v>
      </c>
      <c r="E837" s="2">
        <v>90</v>
      </c>
      <c r="F837" s="2">
        <v>1</v>
      </c>
      <c r="G837" s="2">
        <v>1</v>
      </c>
      <c r="H837" s="2">
        <v>141</v>
      </c>
      <c r="I837" s="2">
        <v>25</v>
      </c>
      <c r="J837" t="str">
        <f>_xlfn.XLOOKUP(Table2[[#This Row],[Customer_ID]],Table1[Customer_ID],Table1[Customer_Name])</f>
        <v>Edda Mcquillen</v>
      </c>
    </row>
    <row r="838" spans="1:10" x14ac:dyDescent="0.35">
      <c r="A838" s="4">
        <v>40982</v>
      </c>
      <c r="B838" s="2">
        <v>10884</v>
      </c>
      <c r="C838" s="2">
        <v>175</v>
      </c>
      <c r="D838" s="2">
        <v>37</v>
      </c>
      <c r="E838" s="2">
        <v>91</v>
      </c>
      <c r="F838" s="2">
        <v>1</v>
      </c>
      <c r="G838" s="2">
        <v>3</v>
      </c>
      <c r="H838" s="2">
        <v>270</v>
      </c>
      <c r="I838" s="2">
        <v>25</v>
      </c>
      <c r="J838" t="str">
        <f>_xlfn.XLOOKUP(Table2[[#This Row],[Customer_ID]],Table1[Customer_ID],Table1[Customer_Name])</f>
        <v>Edda Mcquillen</v>
      </c>
    </row>
    <row r="839" spans="1:10" x14ac:dyDescent="0.35">
      <c r="A839" s="4">
        <v>40982</v>
      </c>
      <c r="B839" s="2">
        <v>10884</v>
      </c>
      <c r="C839" s="2">
        <v>168</v>
      </c>
      <c r="D839" s="2">
        <v>37</v>
      </c>
      <c r="E839" s="2">
        <v>91</v>
      </c>
      <c r="F839" s="2">
        <v>1</v>
      </c>
      <c r="G839" s="2">
        <v>2</v>
      </c>
      <c r="H839" s="2">
        <v>205</v>
      </c>
      <c r="I839" s="2">
        <v>25</v>
      </c>
      <c r="J839" t="str">
        <f>_xlfn.XLOOKUP(Table2[[#This Row],[Customer_ID]],Table1[Customer_ID],Table1[Customer_Name])</f>
        <v>Edda Mcquillen</v>
      </c>
    </row>
    <row r="840" spans="1:10" x14ac:dyDescent="0.35">
      <c r="A840" s="4">
        <v>40983</v>
      </c>
      <c r="B840" s="2">
        <v>10886</v>
      </c>
      <c r="C840" s="2">
        <v>278</v>
      </c>
      <c r="D840" s="2">
        <v>39</v>
      </c>
      <c r="E840" s="2">
        <v>58</v>
      </c>
      <c r="F840" s="2">
        <v>1</v>
      </c>
      <c r="G840" s="2">
        <v>1</v>
      </c>
      <c r="H840" s="2">
        <v>2</v>
      </c>
      <c r="I840" s="2">
        <v>25</v>
      </c>
      <c r="J840" t="str">
        <f>_xlfn.XLOOKUP(Table2[[#This Row],[Customer_ID]],Table1[Customer_ID],Table1[Customer_Name])</f>
        <v>Edythe Manney</v>
      </c>
    </row>
    <row r="841" spans="1:10" x14ac:dyDescent="0.35">
      <c r="A841" s="4">
        <v>40983</v>
      </c>
      <c r="B841" s="2">
        <v>10886</v>
      </c>
      <c r="C841" s="2">
        <v>314</v>
      </c>
      <c r="D841" s="2">
        <v>39</v>
      </c>
      <c r="E841" s="2">
        <v>58</v>
      </c>
      <c r="F841" s="2">
        <v>1</v>
      </c>
      <c r="G841" s="2">
        <v>2</v>
      </c>
      <c r="H841" s="2">
        <v>4</v>
      </c>
      <c r="I841" s="2">
        <v>25</v>
      </c>
      <c r="J841" t="str">
        <f>_xlfn.XLOOKUP(Table2[[#This Row],[Customer_ID]],Table1[Customer_ID],Table1[Customer_Name])</f>
        <v>Edythe Manney</v>
      </c>
    </row>
    <row r="842" spans="1:10" x14ac:dyDescent="0.35">
      <c r="A842" s="4">
        <v>40983</v>
      </c>
      <c r="B842" s="2">
        <v>10886</v>
      </c>
      <c r="C842" s="2">
        <v>232</v>
      </c>
      <c r="D842" s="2">
        <v>39</v>
      </c>
      <c r="E842" s="2">
        <v>58</v>
      </c>
      <c r="F842" s="2">
        <v>1</v>
      </c>
      <c r="G842" s="2">
        <v>8</v>
      </c>
      <c r="H842" s="2">
        <v>4</v>
      </c>
      <c r="I842" s="2">
        <v>25</v>
      </c>
      <c r="J842" t="str">
        <f>_xlfn.XLOOKUP(Table2[[#This Row],[Customer_ID]],Table1[Customer_ID],Table1[Customer_Name])</f>
        <v>Edythe Manney</v>
      </c>
    </row>
    <row r="843" spans="1:10" x14ac:dyDescent="0.35">
      <c r="A843" s="4">
        <v>40986</v>
      </c>
      <c r="B843" s="2">
        <v>10888</v>
      </c>
      <c r="C843" s="2">
        <v>301</v>
      </c>
      <c r="D843" s="2">
        <v>41</v>
      </c>
      <c r="E843" s="2">
        <v>50</v>
      </c>
      <c r="F843" s="2">
        <v>1</v>
      </c>
      <c r="G843" s="2">
        <v>15</v>
      </c>
      <c r="H843" s="2">
        <v>26</v>
      </c>
      <c r="I843" s="2">
        <v>25</v>
      </c>
      <c r="J843" t="str">
        <f>_xlfn.XLOOKUP(Table2[[#This Row],[Customer_ID]],Table1[Customer_ID],Table1[Customer_Name])</f>
        <v>Elicia Rea</v>
      </c>
    </row>
    <row r="844" spans="1:10" x14ac:dyDescent="0.35">
      <c r="A844" s="4">
        <v>40986</v>
      </c>
      <c r="B844" s="2">
        <v>10890</v>
      </c>
      <c r="C844" s="2">
        <v>294</v>
      </c>
      <c r="D844" s="2">
        <v>43</v>
      </c>
      <c r="E844" s="2">
        <v>17</v>
      </c>
      <c r="F844" s="2">
        <v>1</v>
      </c>
      <c r="G844" s="2">
        <v>6</v>
      </c>
      <c r="H844" s="2">
        <v>3</v>
      </c>
      <c r="I844" s="2">
        <v>25</v>
      </c>
      <c r="J844" t="str">
        <f>_xlfn.XLOOKUP(Table2[[#This Row],[Customer_ID]],Table1[Customer_ID],Table1[Customer_Name])</f>
        <v>Eric Eshelman</v>
      </c>
    </row>
    <row r="845" spans="1:10" x14ac:dyDescent="0.35">
      <c r="A845" s="4">
        <v>40986</v>
      </c>
      <c r="B845" s="2">
        <v>10890</v>
      </c>
      <c r="C845" s="2">
        <v>41</v>
      </c>
      <c r="D845" s="2">
        <v>43</v>
      </c>
      <c r="E845" s="2">
        <v>17</v>
      </c>
      <c r="F845" s="2">
        <v>1</v>
      </c>
      <c r="G845" s="2">
        <v>2</v>
      </c>
      <c r="H845" s="2">
        <v>90</v>
      </c>
      <c r="I845" s="2">
        <v>25</v>
      </c>
      <c r="J845" t="str">
        <f>_xlfn.XLOOKUP(Table2[[#This Row],[Customer_ID]],Table1[Customer_ID],Table1[Customer_Name])</f>
        <v>Eric Eshelman</v>
      </c>
    </row>
    <row r="846" spans="1:10" x14ac:dyDescent="0.35">
      <c r="A846" s="4">
        <v>40986</v>
      </c>
      <c r="B846" s="2">
        <v>10888</v>
      </c>
      <c r="C846" s="2">
        <v>42</v>
      </c>
      <c r="D846" s="2">
        <v>41</v>
      </c>
      <c r="E846" s="2">
        <v>50</v>
      </c>
      <c r="F846" s="2">
        <v>1</v>
      </c>
      <c r="G846" s="2">
        <v>6</v>
      </c>
      <c r="H846" s="2">
        <v>13</v>
      </c>
      <c r="I846" s="2">
        <v>25</v>
      </c>
      <c r="J846" t="str">
        <f>_xlfn.XLOOKUP(Table2[[#This Row],[Customer_ID]],Table1[Customer_ID],Table1[Customer_Name])</f>
        <v>Elicia Rea</v>
      </c>
    </row>
    <row r="847" spans="1:10" x14ac:dyDescent="0.35">
      <c r="A847" s="4">
        <v>40986</v>
      </c>
      <c r="B847" s="2">
        <v>10890</v>
      </c>
      <c r="C847" s="2">
        <v>253</v>
      </c>
      <c r="D847" s="2">
        <v>43</v>
      </c>
      <c r="E847" s="2">
        <v>17</v>
      </c>
      <c r="F847" s="2">
        <v>1</v>
      </c>
      <c r="G847" s="2">
        <v>1</v>
      </c>
      <c r="H847" s="2">
        <v>3</v>
      </c>
      <c r="I847" s="2">
        <v>25</v>
      </c>
      <c r="J847" t="str">
        <f>_xlfn.XLOOKUP(Table2[[#This Row],[Customer_ID]],Table1[Customer_ID],Table1[Customer_Name])</f>
        <v>Eric Eshelman</v>
      </c>
    </row>
    <row r="848" spans="1:10" x14ac:dyDescent="0.35">
      <c r="A848" s="4">
        <v>40987</v>
      </c>
      <c r="B848" s="2">
        <v>10892</v>
      </c>
      <c r="C848" s="2">
        <v>287</v>
      </c>
      <c r="D848" s="2">
        <v>45</v>
      </c>
      <c r="E848" s="2">
        <v>46</v>
      </c>
      <c r="F848" s="2">
        <v>1</v>
      </c>
      <c r="G848" s="2">
        <v>6</v>
      </c>
      <c r="H848" s="2">
        <v>3</v>
      </c>
      <c r="I848" s="2">
        <v>25</v>
      </c>
      <c r="J848" t="str">
        <f>_xlfn.XLOOKUP(Table2[[#This Row],[Customer_ID]],Table1[Customer_ID],Table1[Customer_Name])</f>
        <v>Everette Ellery</v>
      </c>
    </row>
    <row r="849" spans="1:10" x14ac:dyDescent="0.35">
      <c r="A849" s="4">
        <v>40988</v>
      </c>
      <c r="B849" s="2">
        <v>10894</v>
      </c>
      <c r="C849" s="2">
        <v>418</v>
      </c>
      <c r="D849" s="2">
        <v>47</v>
      </c>
      <c r="E849" s="2">
        <v>3</v>
      </c>
      <c r="F849" s="2">
        <v>1</v>
      </c>
      <c r="G849" s="2">
        <v>3</v>
      </c>
      <c r="H849" s="2">
        <v>20</v>
      </c>
      <c r="I849" s="2">
        <v>25</v>
      </c>
      <c r="J849" t="str">
        <f>_xlfn.XLOOKUP(Table2[[#This Row],[Customer_ID]],Table1[Customer_ID],Table1[Customer_Name])</f>
        <v>Fe Finchum</v>
      </c>
    </row>
    <row r="850" spans="1:10" x14ac:dyDescent="0.35">
      <c r="A850" s="4">
        <v>40988</v>
      </c>
      <c r="B850" s="2">
        <v>10894</v>
      </c>
      <c r="C850" s="2">
        <v>290</v>
      </c>
      <c r="D850" s="2">
        <v>47</v>
      </c>
      <c r="E850" s="2">
        <v>3</v>
      </c>
      <c r="F850" s="2">
        <v>1</v>
      </c>
      <c r="G850" s="2">
        <v>8</v>
      </c>
      <c r="H850" s="2">
        <v>9</v>
      </c>
      <c r="I850" s="2">
        <v>25</v>
      </c>
      <c r="J850" t="str">
        <f>_xlfn.XLOOKUP(Table2[[#This Row],[Customer_ID]],Table1[Customer_ID],Table1[Customer_Name])</f>
        <v>Fe Finchum</v>
      </c>
    </row>
    <row r="851" spans="1:10" x14ac:dyDescent="0.35">
      <c r="A851" s="4">
        <v>40988</v>
      </c>
      <c r="B851" s="2">
        <v>10894</v>
      </c>
      <c r="C851" s="2">
        <v>450</v>
      </c>
      <c r="D851" s="2">
        <v>47</v>
      </c>
      <c r="E851" s="2">
        <v>3</v>
      </c>
      <c r="F851" s="2">
        <v>1</v>
      </c>
      <c r="G851" s="2">
        <v>2</v>
      </c>
      <c r="H851" s="2">
        <v>11</v>
      </c>
      <c r="I851" s="2">
        <v>25</v>
      </c>
      <c r="J851" t="str">
        <f>_xlfn.XLOOKUP(Table2[[#This Row],[Customer_ID]],Table1[Customer_ID],Table1[Customer_Name])</f>
        <v>Fe Finchum</v>
      </c>
    </row>
    <row r="852" spans="1:10" x14ac:dyDescent="0.35">
      <c r="A852" s="4">
        <v>40989</v>
      </c>
      <c r="B852" s="2">
        <v>10896</v>
      </c>
      <c r="C852" s="2">
        <v>52</v>
      </c>
      <c r="D852" s="2">
        <v>49</v>
      </c>
      <c r="E852" s="2">
        <v>51</v>
      </c>
      <c r="F852" s="2">
        <v>1</v>
      </c>
      <c r="G852" s="2">
        <v>1</v>
      </c>
      <c r="H852" s="2">
        <v>5</v>
      </c>
      <c r="I852" s="2">
        <v>25</v>
      </c>
      <c r="J852" t="str">
        <f>_xlfn.XLOOKUP(Table2[[#This Row],[Customer_ID]],Table1[Customer_ID],Table1[Customer_Name])</f>
        <v>Geraldo Stickney</v>
      </c>
    </row>
    <row r="853" spans="1:10" x14ac:dyDescent="0.35">
      <c r="A853" s="4">
        <v>40989</v>
      </c>
      <c r="B853" s="2">
        <v>10896</v>
      </c>
      <c r="C853" s="2">
        <v>31</v>
      </c>
      <c r="D853" s="2">
        <v>49</v>
      </c>
      <c r="E853" s="2">
        <v>51</v>
      </c>
      <c r="F853" s="2">
        <v>1</v>
      </c>
      <c r="G853" s="2">
        <v>9</v>
      </c>
      <c r="H853" s="2">
        <v>8</v>
      </c>
      <c r="I853" s="2">
        <v>25</v>
      </c>
      <c r="J853" t="str">
        <f>_xlfn.XLOOKUP(Table2[[#This Row],[Customer_ID]],Table1[Customer_ID],Table1[Customer_Name])</f>
        <v>Geraldo Stickney</v>
      </c>
    </row>
    <row r="854" spans="1:10" x14ac:dyDescent="0.35">
      <c r="A854" s="4">
        <v>40990</v>
      </c>
      <c r="B854" s="2">
        <v>10898</v>
      </c>
      <c r="C854" s="2">
        <v>9</v>
      </c>
      <c r="D854" s="2">
        <v>51</v>
      </c>
      <c r="E854" s="2">
        <v>24</v>
      </c>
      <c r="F854" s="2">
        <v>1</v>
      </c>
      <c r="G854" s="2">
        <v>3</v>
      </c>
      <c r="H854" s="2">
        <v>336</v>
      </c>
      <c r="I854" s="2">
        <v>25</v>
      </c>
      <c r="J854" t="str">
        <f>_xlfn.XLOOKUP(Table2[[#This Row],[Customer_ID]],Table1[Customer_ID],Table1[Customer_Name])</f>
        <v>Gladis Hasan</v>
      </c>
    </row>
    <row r="855" spans="1:10" x14ac:dyDescent="0.35">
      <c r="A855" s="4">
        <v>40990</v>
      </c>
      <c r="B855" s="2">
        <v>10900</v>
      </c>
      <c r="C855" s="2">
        <v>8</v>
      </c>
      <c r="D855" s="2">
        <v>53</v>
      </c>
      <c r="E855" s="2">
        <v>43</v>
      </c>
      <c r="F855" s="2">
        <v>1</v>
      </c>
      <c r="G855" s="2">
        <v>3</v>
      </c>
      <c r="H855" s="2">
        <v>380</v>
      </c>
      <c r="I855" s="2">
        <v>25</v>
      </c>
      <c r="J855" t="str">
        <f>_xlfn.XLOOKUP(Table2[[#This Row],[Customer_ID]],Table1[Customer_ID],Table1[Customer_Name])</f>
        <v>Gracia Jelks</v>
      </c>
    </row>
    <row r="856" spans="1:10" x14ac:dyDescent="0.35">
      <c r="A856" s="4">
        <v>40993</v>
      </c>
      <c r="B856" s="2">
        <v>10902</v>
      </c>
      <c r="C856" s="2">
        <v>1</v>
      </c>
      <c r="D856" s="2">
        <v>55</v>
      </c>
      <c r="E856" s="2">
        <v>53</v>
      </c>
      <c r="F856" s="2">
        <v>1</v>
      </c>
      <c r="G856" s="2">
        <v>3</v>
      </c>
      <c r="H856" s="2">
        <v>702</v>
      </c>
      <c r="I856" s="2">
        <v>25</v>
      </c>
      <c r="J856" t="str">
        <f>_xlfn.XLOOKUP(Table2[[#This Row],[Customer_ID]],Table1[Customer_ID],Table1[Customer_Name])</f>
        <v>Harrison Hugh</v>
      </c>
    </row>
    <row r="857" spans="1:10" x14ac:dyDescent="0.35">
      <c r="A857" s="4">
        <v>40993</v>
      </c>
      <c r="B857" s="2">
        <v>10902</v>
      </c>
      <c r="C857" s="2">
        <v>2</v>
      </c>
      <c r="D857" s="2">
        <v>55</v>
      </c>
      <c r="E857" s="2">
        <v>53</v>
      </c>
      <c r="F857" s="2">
        <v>1</v>
      </c>
      <c r="G857" s="2">
        <v>2</v>
      </c>
      <c r="H857" s="2">
        <v>634</v>
      </c>
      <c r="I857" s="2">
        <v>25</v>
      </c>
      <c r="J857" t="str">
        <f>_xlfn.XLOOKUP(Table2[[#This Row],[Customer_ID]],Table1[Customer_ID],Table1[Customer_Name])</f>
        <v>Harrison Hugh</v>
      </c>
    </row>
    <row r="858" spans="1:10" x14ac:dyDescent="0.35">
      <c r="A858" s="4">
        <v>40994</v>
      </c>
      <c r="B858" s="2">
        <v>10904</v>
      </c>
      <c r="C858" s="2">
        <v>180</v>
      </c>
      <c r="D858" s="2">
        <v>57</v>
      </c>
      <c r="E858" s="2">
        <v>28</v>
      </c>
      <c r="F858" s="2">
        <v>1</v>
      </c>
      <c r="G858" s="2">
        <v>8</v>
      </c>
      <c r="H858" s="2">
        <v>261</v>
      </c>
      <c r="I858" s="2">
        <v>25</v>
      </c>
      <c r="J858" t="str">
        <f>_xlfn.XLOOKUP(Table2[[#This Row],[Customer_ID]],Table1[Customer_ID],Table1[Customer_Name])</f>
        <v>Ina Iversen</v>
      </c>
    </row>
    <row r="859" spans="1:10" x14ac:dyDescent="0.35">
      <c r="A859" s="4">
        <v>40994</v>
      </c>
      <c r="B859" s="2">
        <v>10904</v>
      </c>
      <c r="C859" s="2">
        <v>178</v>
      </c>
      <c r="D859" s="2">
        <v>57</v>
      </c>
      <c r="E859" s="2">
        <v>28</v>
      </c>
      <c r="F859" s="2">
        <v>1</v>
      </c>
      <c r="G859" s="2">
        <v>1</v>
      </c>
      <c r="H859" s="2">
        <v>293</v>
      </c>
      <c r="I859" s="2">
        <v>25</v>
      </c>
      <c r="J859" t="str">
        <f>_xlfn.XLOOKUP(Table2[[#This Row],[Customer_ID]],Table1[Customer_ID],Table1[Customer_Name])</f>
        <v>Ina Iversen</v>
      </c>
    </row>
    <row r="860" spans="1:10" x14ac:dyDescent="0.35">
      <c r="A860" s="4">
        <v>40995</v>
      </c>
      <c r="B860" s="2">
        <v>10906</v>
      </c>
      <c r="C860" s="2">
        <v>179</v>
      </c>
      <c r="D860" s="2">
        <v>59</v>
      </c>
      <c r="E860" s="2">
        <v>78</v>
      </c>
      <c r="F860" s="2">
        <v>1</v>
      </c>
      <c r="G860" s="2">
        <v>4</v>
      </c>
      <c r="H860" s="2">
        <v>425</v>
      </c>
      <c r="I860" s="2">
        <v>25</v>
      </c>
      <c r="J860" t="str">
        <f>_xlfn.XLOOKUP(Table2[[#This Row],[Customer_ID]],Table1[Customer_ID],Table1[Customer_Name])</f>
        <v>Janella Vallo</v>
      </c>
    </row>
    <row r="861" spans="1:10" x14ac:dyDescent="0.35">
      <c r="A861" s="4">
        <v>40996</v>
      </c>
      <c r="B861" s="2">
        <v>10912</v>
      </c>
      <c r="C861" s="2">
        <v>80</v>
      </c>
      <c r="D861" s="2">
        <v>65</v>
      </c>
      <c r="E861" s="2">
        <v>31</v>
      </c>
      <c r="F861" s="2">
        <v>1</v>
      </c>
      <c r="G861" s="2">
        <v>7</v>
      </c>
      <c r="H861" s="2">
        <v>23</v>
      </c>
      <c r="I861" s="2">
        <v>25</v>
      </c>
      <c r="J861" t="str">
        <f>_xlfn.XLOOKUP(Table2[[#This Row],[Customer_ID]],Table1[Customer_ID],Table1[Customer_Name])</f>
        <v>Judie Sawicki</v>
      </c>
    </row>
    <row r="862" spans="1:10" x14ac:dyDescent="0.35">
      <c r="A862" s="4">
        <v>40996</v>
      </c>
      <c r="B862" s="2">
        <v>10910</v>
      </c>
      <c r="C862" s="2">
        <v>121</v>
      </c>
      <c r="D862" s="2">
        <v>63</v>
      </c>
      <c r="E862" s="2">
        <v>34</v>
      </c>
      <c r="F862" s="2">
        <v>1</v>
      </c>
      <c r="G862" s="2">
        <v>3</v>
      </c>
      <c r="H862" s="2">
        <v>763</v>
      </c>
      <c r="I862" s="2">
        <v>25</v>
      </c>
      <c r="J862" t="str">
        <f>_xlfn.XLOOKUP(Table2[[#This Row],[Customer_ID]],Table1[Customer_ID],Table1[Customer_Name])</f>
        <v>Johnathon Tucker</v>
      </c>
    </row>
    <row r="863" spans="1:10" x14ac:dyDescent="0.35">
      <c r="A863" s="4">
        <v>40996</v>
      </c>
      <c r="B863" s="2">
        <v>10912</v>
      </c>
      <c r="C863" s="2">
        <v>71</v>
      </c>
      <c r="D863" s="2">
        <v>65</v>
      </c>
      <c r="E863" s="2">
        <v>31</v>
      </c>
      <c r="F863" s="2">
        <v>1</v>
      </c>
      <c r="G863" s="2">
        <v>5</v>
      </c>
      <c r="H863" s="2">
        <v>12</v>
      </c>
      <c r="I863" s="2">
        <v>25</v>
      </c>
      <c r="J863" t="str">
        <f>_xlfn.XLOOKUP(Table2[[#This Row],[Customer_ID]],Table1[Customer_ID],Table1[Customer_Name])</f>
        <v>Judie Sawicki</v>
      </c>
    </row>
    <row r="864" spans="1:10" x14ac:dyDescent="0.35">
      <c r="A864" s="4">
        <v>40996</v>
      </c>
      <c r="B864" s="2">
        <v>10908</v>
      </c>
      <c r="C864" s="2">
        <v>72</v>
      </c>
      <c r="D864" s="2">
        <v>61</v>
      </c>
      <c r="E864" s="2">
        <v>24</v>
      </c>
      <c r="F864" s="2">
        <v>1</v>
      </c>
      <c r="G864" s="2">
        <v>1</v>
      </c>
      <c r="H864" s="2">
        <v>6</v>
      </c>
      <c r="I864" s="2">
        <v>25</v>
      </c>
      <c r="J864" t="str">
        <f>_xlfn.XLOOKUP(Table2[[#This Row],[Customer_ID]],Table1[Customer_ID],Table1[Customer_Name])</f>
        <v>Jeanelle Joynes</v>
      </c>
    </row>
    <row r="865" spans="1:10" x14ac:dyDescent="0.35">
      <c r="A865" s="4">
        <v>40996</v>
      </c>
      <c r="B865" s="2">
        <v>10910</v>
      </c>
      <c r="C865" s="2">
        <v>122</v>
      </c>
      <c r="D865" s="2">
        <v>63</v>
      </c>
      <c r="E865" s="2">
        <v>34</v>
      </c>
      <c r="F865" s="2">
        <v>1</v>
      </c>
      <c r="G865" s="2">
        <v>4</v>
      </c>
      <c r="H865" s="2">
        <v>433</v>
      </c>
      <c r="I865" s="2">
        <v>25</v>
      </c>
      <c r="J865" t="str">
        <f>_xlfn.XLOOKUP(Table2[[#This Row],[Customer_ID]],Table1[Customer_ID],Table1[Customer_Name])</f>
        <v>Johnathon Tucker</v>
      </c>
    </row>
    <row r="866" spans="1:10" x14ac:dyDescent="0.35">
      <c r="A866" s="4">
        <v>40996</v>
      </c>
      <c r="B866" s="2">
        <v>10908</v>
      </c>
      <c r="C866" s="2">
        <v>84</v>
      </c>
      <c r="D866" s="2">
        <v>61</v>
      </c>
      <c r="E866" s="2">
        <v>24</v>
      </c>
      <c r="F866" s="2">
        <v>1</v>
      </c>
      <c r="G866" s="2">
        <v>8</v>
      </c>
      <c r="H866" s="2">
        <v>6</v>
      </c>
      <c r="I866" s="2">
        <v>25</v>
      </c>
      <c r="J866" t="str">
        <f>_xlfn.XLOOKUP(Table2[[#This Row],[Customer_ID]],Table1[Customer_ID],Table1[Customer_Name])</f>
        <v>Jeanelle Joynes</v>
      </c>
    </row>
    <row r="867" spans="1:10" x14ac:dyDescent="0.35">
      <c r="A867" s="4">
        <v>40996</v>
      </c>
      <c r="B867" s="2">
        <v>10910</v>
      </c>
      <c r="C867" s="2">
        <v>125</v>
      </c>
      <c r="D867" s="2">
        <v>63</v>
      </c>
      <c r="E867" s="2">
        <v>34</v>
      </c>
      <c r="F867" s="2">
        <v>1</v>
      </c>
      <c r="G867" s="2">
        <v>7</v>
      </c>
      <c r="H867" s="2">
        <v>930</v>
      </c>
      <c r="I867" s="2">
        <v>25</v>
      </c>
      <c r="J867" t="str">
        <f>_xlfn.XLOOKUP(Table2[[#This Row],[Customer_ID]],Table1[Customer_ID],Table1[Customer_Name])</f>
        <v>Johnathon Tucker</v>
      </c>
    </row>
    <row r="868" spans="1:10" x14ac:dyDescent="0.35">
      <c r="A868" s="4">
        <v>40997</v>
      </c>
      <c r="B868" s="2">
        <v>10916</v>
      </c>
      <c r="C868" s="2">
        <v>320</v>
      </c>
      <c r="D868" s="2">
        <v>69</v>
      </c>
      <c r="F868" s="2">
        <v>1</v>
      </c>
      <c r="G868" s="2">
        <v>2</v>
      </c>
      <c r="H868" s="2">
        <v>2</v>
      </c>
      <c r="I868" s="2">
        <v>25</v>
      </c>
      <c r="J868" t="str">
        <f>_xlfn.XLOOKUP(Table2[[#This Row],[Customer_ID]],Table1[Customer_ID],Table1[Customer_Name])</f>
        <v>Kareem Koser</v>
      </c>
    </row>
    <row r="869" spans="1:10" x14ac:dyDescent="0.35">
      <c r="A869" s="4">
        <v>40997</v>
      </c>
      <c r="B869" s="2">
        <v>10914</v>
      </c>
      <c r="C869" s="2">
        <v>81</v>
      </c>
      <c r="D869" s="2">
        <v>67</v>
      </c>
      <c r="F869" s="2">
        <v>1</v>
      </c>
      <c r="G869" s="2">
        <v>8</v>
      </c>
      <c r="H869" s="2">
        <v>8</v>
      </c>
      <c r="I869" s="2">
        <v>25</v>
      </c>
      <c r="J869" t="str">
        <f>_xlfn.XLOOKUP(Table2[[#This Row],[Customer_ID]],Table1[Customer_ID],Table1[Customer_Name])</f>
        <v>Kaitlyn Killian</v>
      </c>
    </row>
    <row r="870" spans="1:10" x14ac:dyDescent="0.35">
      <c r="A870" s="4">
        <v>40997</v>
      </c>
      <c r="B870" s="2">
        <v>10916</v>
      </c>
      <c r="C870" s="2">
        <v>299</v>
      </c>
      <c r="D870" s="2">
        <v>69</v>
      </c>
      <c r="F870" s="2">
        <v>1</v>
      </c>
      <c r="G870" s="2">
        <v>3</v>
      </c>
      <c r="H870" s="2">
        <v>3</v>
      </c>
      <c r="I870" s="2">
        <v>25</v>
      </c>
      <c r="J870" t="str">
        <f>_xlfn.XLOOKUP(Table2[[#This Row],[Customer_ID]],Table1[Customer_ID],Table1[Customer_Name])</f>
        <v>Kareem Koser</v>
      </c>
    </row>
    <row r="871" spans="1:10" x14ac:dyDescent="0.35">
      <c r="A871" s="4">
        <v>40997</v>
      </c>
      <c r="B871" s="2">
        <v>10916</v>
      </c>
      <c r="C871" s="2">
        <v>234</v>
      </c>
      <c r="D871" s="2">
        <v>69</v>
      </c>
      <c r="F871" s="2">
        <v>1</v>
      </c>
      <c r="G871" s="2">
        <v>5</v>
      </c>
      <c r="H871" s="2">
        <v>27</v>
      </c>
      <c r="I871" s="2">
        <v>25</v>
      </c>
      <c r="J871" t="str">
        <f>_xlfn.XLOOKUP(Table2[[#This Row],[Customer_ID]],Table1[Customer_ID],Table1[Customer_Name])</f>
        <v>Kareem Koser</v>
      </c>
    </row>
    <row r="872" spans="1:10" x14ac:dyDescent="0.35">
      <c r="A872" s="4">
        <v>41000</v>
      </c>
      <c r="B872" s="2">
        <v>10918</v>
      </c>
      <c r="C872" s="2">
        <v>417</v>
      </c>
      <c r="D872" s="2">
        <v>71</v>
      </c>
      <c r="F872" s="2">
        <v>1</v>
      </c>
      <c r="G872" s="2">
        <v>8</v>
      </c>
      <c r="H872" s="2">
        <v>20</v>
      </c>
      <c r="I872" s="2">
        <v>25</v>
      </c>
      <c r="J872" t="str">
        <f>_xlfn.XLOOKUP(Table2[[#This Row],[Customer_ID]],Table1[Customer_ID],Table1[Customer_Name])</f>
        <v>Karissa Kircher</v>
      </c>
    </row>
    <row r="873" spans="1:10" x14ac:dyDescent="0.35">
      <c r="A873" s="4">
        <v>41000</v>
      </c>
      <c r="B873" s="2">
        <v>10918</v>
      </c>
      <c r="C873" s="2">
        <v>388</v>
      </c>
      <c r="D873" s="2">
        <v>71</v>
      </c>
      <c r="F873" s="2">
        <v>1</v>
      </c>
      <c r="G873" s="2">
        <v>1</v>
      </c>
      <c r="H873" s="2">
        <v>15</v>
      </c>
      <c r="I873" s="2">
        <v>25</v>
      </c>
      <c r="J873" t="str">
        <f>_xlfn.XLOOKUP(Table2[[#This Row],[Customer_ID]],Table1[Customer_ID],Table1[Customer_Name])</f>
        <v>Karissa Kircher</v>
      </c>
    </row>
    <row r="874" spans="1:10" x14ac:dyDescent="0.35">
      <c r="A874" s="4">
        <v>41001</v>
      </c>
      <c r="B874" s="2">
        <v>10922</v>
      </c>
      <c r="C874" s="2">
        <v>39</v>
      </c>
      <c r="D874" s="2">
        <v>75</v>
      </c>
      <c r="F874" s="2">
        <v>1</v>
      </c>
      <c r="G874" s="2">
        <v>2</v>
      </c>
      <c r="H874" s="2">
        <v>21</v>
      </c>
      <c r="I874" s="2">
        <v>25</v>
      </c>
      <c r="J874" t="str">
        <f>_xlfn.XLOOKUP(Table2[[#This Row],[Customer_ID]],Table1[Customer_ID],Table1[Customer_Name])</f>
        <v>Keisha Koh</v>
      </c>
    </row>
    <row r="875" spans="1:10" x14ac:dyDescent="0.35">
      <c r="A875" s="4">
        <v>41001</v>
      </c>
      <c r="B875" s="2">
        <v>10920</v>
      </c>
      <c r="C875" s="2">
        <v>412</v>
      </c>
      <c r="D875" s="2">
        <v>73</v>
      </c>
      <c r="F875" s="2">
        <v>1</v>
      </c>
      <c r="G875" s="2">
        <v>6</v>
      </c>
      <c r="H875" s="2">
        <v>20</v>
      </c>
      <c r="I875" s="2">
        <v>25</v>
      </c>
      <c r="J875" t="str">
        <f>_xlfn.XLOOKUP(Table2[[#This Row],[Customer_ID]],Table1[Customer_ID],Table1[Customer_Name])</f>
        <v>Katharine Pearcy</v>
      </c>
    </row>
    <row r="876" spans="1:10" x14ac:dyDescent="0.35">
      <c r="A876" s="4">
        <v>41001</v>
      </c>
      <c r="B876" s="2">
        <v>10922</v>
      </c>
      <c r="C876" s="2">
        <v>316</v>
      </c>
      <c r="D876" s="2">
        <v>75</v>
      </c>
      <c r="F876" s="2">
        <v>1</v>
      </c>
      <c r="G876" s="2">
        <v>2</v>
      </c>
      <c r="H876" s="2">
        <v>13</v>
      </c>
      <c r="I876" s="2">
        <v>25</v>
      </c>
      <c r="J876" t="str">
        <f>_xlfn.XLOOKUP(Table2[[#This Row],[Customer_ID]],Table1[Customer_ID],Table1[Customer_Name])</f>
        <v>Keisha Koh</v>
      </c>
    </row>
    <row r="877" spans="1:10" x14ac:dyDescent="0.35">
      <c r="A877" s="4">
        <v>41002</v>
      </c>
      <c r="B877" s="2">
        <v>10924</v>
      </c>
      <c r="C877" s="2">
        <v>160</v>
      </c>
      <c r="D877" s="2">
        <v>77</v>
      </c>
      <c r="F877" s="2">
        <v>1</v>
      </c>
      <c r="G877" s="2">
        <v>6</v>
      </c>
      <c r="H877" s="2">
        <v>1420</v>
      </c>
      <c r="I877" s="2">
        <v>25</v>
      </c>
      <c r="J877" t="str">
        <f>_xlfn.XLOOKUP(Table2[[#This Row],[Customer_ID]],Table1[Customer_ID],Table1[Customer_Name])</f>
        <v>Kyla Danek</v>
      </c>
    </row>
    <row r="878" spans="1:10" x14ac:dyDescent="0.35">
      <c r="A878" s="4">
        <v>41002</v>
      </c>
      <c r="B878" s="2">
        <v>10926</v>
      </c>
      <c r="C878" s="2">
        <v>144</v>
      </c>
      <c r="D878" s="2">
        <v>79</v>
      </c>
      <c r="F878" s="2">
        <v>1</v>
      </c>
      <c r="G878" s="2">
        <v>6</v>
      </c>
      <c r="H878" s="2">
        <v>81</v>
      </c>
      <c r="I878" s="2">
        <v>25</v>
      </c>
      <c r="J878" t="str">
        <f>_xlfn.XLOOKUP(Table2[[#This Row],[Customer_ID]],Table1[Customer_ID],Table1[Customer_Name])</f>
        <v>Lala Ladue</v>
      </c>
    </row>
    <row r="879" spans="1:10" x14ac:dyDescent="0.35">
      <c r="A879" s="4">
        <v>41002</v>
      </c>
      <c r="B879" s="2">
        <v>10924</v>
      </c>
      <c r="C879" s="2">
        <v>56</v>
      </c>
      <c r="D879" s="2">
        <v>77</v>
      </c>
      <c r="F879" s="2">
        <v>1</v>
      </c>
      <c r="G879" s="2">
        <v>2</v>
      </c>
      <c r="H879" s="2">
        <v>19</v>
      </c>
      <c r="I879" s="2">
        <v>25</v>
      </c>
      <c r="J879" t="str">
        <f>_xlfn.XLOOKUP(Table2[[#This Row],[Customer_ID]],Table1[Customer_ID],Table1[Customer_Name])</f>
        <v>Kyla Danek</v>
      </c>
    </row>
    <row r="880" spans="1:10" x14ac:dyDescent="0.35">
      <c r="A880" s="4">
        <v>41002</v>
      </c>
      <c r="B880" s="2">
        <v>10924</v>
      </c>
      <c r="C880" s="2">
        <v>65</v>
      </c>
      <c r="D880" s="2">
        <v>77</v>
      </c>
      <c r="F880" s="2">
        <v>1</v>
      </c>
      <c r="G880" s="2">
        <v>2</v>
      </c>
      <c r="H880" s="2">
        <v>20</v>
      </c>
      <c r="I880" s="2">
        <v>25</v>
      </c>
      <c r="J880" t="str">
        <f>_xlfn.XLOOKUP(Table2[[#This Row],[Customer_ID]],Table1[Customer_ID],Table1[Customer_Name])</f>
        <v>Kyla Danek</v>
      </c>
    </row>
    <row r="881" spans="1:10" x14ac:dyDescent="0.35">
      <c r="A881" s="4">
        <v>41002</v>
      </c>
      <c r="B881" s="2">
        <v>10926</v>
      </c>
      <c r="C881" s="2">
        <v>140</v>
      </c>
      <c r="D881" s="2">
        <v>79</v>
      </c>
      <c r="F881" s="2">
        <v>1</v>
      </c>
      <c r="G881" s="2">
        <v>7</v>
      </c>
      <c r="H881" s="2">
        <v>95</v>
      </c>
      <c r="I881" s="2">
        <v>25</v>
      </c>
      <c r="J881" t="str">
        <f>_xlfn.XLOOKUP(Table2[[#This Row],[Customer_ID]],Table1[Customer_ID],Table1[Customer_Name])</f>
        <v>Lala Ladue</v>
      </c>
    </row>
    <row r="882" spans="1:10" x14ac:dyDescent="0.35">
      <c r="A882" s="4">
        <v>41002</v>
      </c>
      <c r="B882" s="2">
        <v>10926</v>
      </c>
      <c r="C882" s="2">
        <v>133</v>
      </c>
      <c r="D882" s="2">
        <v>79</v>
      </c>
      <c r="F882" s="2">
        <v>1</v>
      </c>
      <c r="G882" s="2">
        <v>3</v>
      </c>
      <c r="H882" s="2">
        <v>95</v>
      </c>
      <c r="I882" s="2">
        <v>25</v>
      </c>
      <c r="J882" t="str">
        <f>_xlfn.XLOOKUP(Table2[[#This Row],[Customer_ID]],Table1[Customer_ID],Table1[Customer_Name])</f>
        <v>Lala Ladue</v>
      </c>
    </row>
    <row r="883" spans="1:10" x14ac:dyDescent="0.35">
      <c r="A883" s="4">
        <v>41002</v>
      </c>
      <c r="B883" s="2">
        <v>10926</v>
      </c>
      <c r="C883" s="2">
        <v>138</v>
      </c>
      <c r="D883" s="2">
        <v>79</v>
      </c>
      <c r="F883" s="2">
        <v>1</v>
      </c>
      <c r="G883" s="2">
        <v>5</v>
      </c>
      <c r="H883" s="2">
        <v>126</v>
      </c>
      <c r="I883" s="2">
        <v>25</v>
      </c>
      <c r="J883" t="str">
        <f>_xlfn.XLOOKUP(Table2[[#This Row],[Customer_ID]],Table1[Customer_ID],Table1[Customer_Name])</f>
        <v>Lala Ladue</v>
      </c>
    </row>
    <row r="884" spans="1:10" x14ac:dyDescent="0.35">
      <c r="A884" s="4">
        <v>41003</v>
      </c>
      <c r="B884" s="2">
        <v>10928</v>
      </c>
      <c r="C884" s="2">
        <v>166</v>
      </c>
      <c r="D884" s="2">
        <v>81</v>
      </c>
      <c r="F884" s="2">
        <v>1</v>
      </c>
      <c r="G884" s="2">
        <v>1</v>
      </c>
      <c r="H884" s="2">
        <v>332</v>
      </c>
      <c r="I884" s="2">
        <v>25</v>
      </c>
      <c r="J884" t="str">
        <f>_xlfn.XLOOKUP(Table2[[#This Row],[Customer_ID]],Table1[Customer_ID],Table1[Customer_Name])</f>
        <v>Leanne Lockhart</v>
      </c>
    </row>
    <row r="885" spans="1:10" x14ac:dyDescent="0.35">
      <c r="A885" s="4">
        <v>41003</v>
      </c>
      <c r="B885" s="2">
        <v>10928</v>
      </c>
      <c r="C885" s="2">
        <v>176</v>
      </c>
      <c r="D885" s="2">
        <v>81</v>
      </c>
      <c r="F885" s="2">
        <v>1</v>
      </c>
      <c r="G885" s="2">
        <v>5</v>
      </c>
      <c r="H885" s="2">
        <v>329</v>
      </c>
      <c r="I885" s="2">
        <v>25</v>
      </c>
      <c r="J885" t="str">
        <f>_xlfn.XLOOKUP(Table2[[#This Row],[Customer_ID]],Table1[Customer_ID],Table1[Customer_Name])</f>
        <v>Leanne Lockhart</v>
      </c>
    </row>
    <row r="886" spans="1:10" x14ac:dyDescent="0.35">
      <c r="A886" s="4">
        <v>41004</v>
      </c>
      <c r="B886" s="2">
        <v>10932</v>
      </c>
      <c r="C886" s="2">
        <v>87</v>
      </c>
      <c r="D886" s="2">
        <v>85</v>
      </c>
      <c r="F886" s="2">
        <v>1</v>
      </c>
      <c r="G886" s="2">
        <v>7</v>
      </c>
      <c r="H886" s="2">
        <v>11</v>
      </c>
      <c r="I886" s="2">
        <v>25</v>
      </c>
      <c r="J886" t="str">
        <f>_xlfn.XLOOKUP(Table2[[#This Row],[Customer_ID]],Table1[Customer_ID],Table1[Customer_Name])</f>
        <v>Lissette Layton</v>
      </c>
    </row>
    <row r="887" spans="1:10" x14ac:dyDescent="0.35">
      <c r="A887" s="4">
        <v>41004</v>
      </c>
      <c r="B887" s="2">
        <v>10932</v>
      </c>
      <c r="C887" s="2">
        <v>194</v>
      </c>
      <c r="D887" s="2">
        <v>85</v>
      </c>
      <c r="F887" s="2">
        <v>1</v>
      </c>
      <c r="G887" s="2">
        <v>1</v>
      </c>
      <c r="H887" s="2">
        <v>13</v>
      </c>
      <c r="I887" s="2">
        <v>25</v>
      </c>
      <c r="J887" t="str">
        <f>_xlfn.XLOOKUP(Table2[[#This Row],[Customer_ID]],Table1[Customer_ID],Table1[Customer_Name])</f>
        <v>Lissette Layton</v>
      </c>
    </row>
    <row r="888" spans="1:10" x14ac:dyDescent="0.35">
      <c r="A888" s="4">
        <v>41004</v>
      </c>
      <c r="B888" s="2">
        <v>10932</v>
      </c>
      <c r="C888" s="2">
        <v>330</v>
      </c>
      <c r="D888" s="2">
        <v>85</v>
      </c>
      <c r="F888" s="2">
        <v>1</v>
      </c>
      <c r="G888" s="2">
        <v>4</v>
      </c>
      <c r="H888" s="2">
        <v>23</v>
      </c>
      <c r="I888" s="2">
        <v>25</v>
      </c>
      <c r="J888" t="str">
        <f>_xlfn.XLOOKUP(Table2[[#This Row],[Customer_ID]],Table1[Customer_ID],Table1[Customer_Name])</f>
        <v>Lissette Layton</v>
      </c>
    </row>
    <row r="889" spans="1:10" x14ac:dyDescent="0.35">
      <c r="A889" s="4">
        <v>41004</v>
      </c>
      <c r="B889" s="2">
        <v>10932</v>
      </c>
      <c r="C889" s="2">
        <v>326</v>
      </c>
      <c r="D889" s="2">
        <v>85</v>
      </c>
      <c r="F889" s="2">
        <v>1</v>
      </c>
      <c r="G889" s="2">
        <v>7</v>
      </c>
      <c r="H889" s="2">
        <v>44</v>
      </c>
      <c r="I889" s="2">
        <v>25</v>
      </c>
      <c r="J889" t="str">
        <f>_xlfn.XLOOKUP(Table2[[#This Row],[Customer_ID]],Table1[Customer_ID],Table1[Customer_Name])</f>
        <v>Lissette Layton</v>
      </c>
    </row>
    <row r="890" spans="1:10" x14ac:dyDescent="0.35">
      <c r="A890" s="4">
        <v>41004</v>
      </c>
      <c r="B890" s="2">
        <v>10930</v>
      </c>
      <c r="C890" s="2">
        <v>354</v>
      </c>
      <c r="D890" s="2">
        <v>83</v>
      </c>
      <c r="F890" s="2">
        <v>1</v>
      </c>
      <c r="G890" s="2">
        <v>1</v>
      </c>
      <c r="H890" s="2">
        <v>45</v>
      </c>
      <c r="I890" s="2">
        <v>25</v>
      </c>
      <c r="J890" t="str">
        <f>_xlfn.XLOOKUP(Table2[[#This Row],[Customer_ID]],Table1[Customer_ID],Table1[Customer_Name])</f>
        <v>Lily Weatherford</v>
      </c>
    </row>
    <row r="891" spans="1:10" x14ac:dyDescent="0.35">
      <c r="A891" s="4">
        <v>41004</v>
      </c>
      <c r="B891" s="2">
        <v>10930</v>
      </c>
      <c r="C891" s="2">
        <v>47</v>
      </c>
      <c r="D891" s="2">
        <v>83</v>
      </c>
      <c r="F891" s="2">
        <v>1</v>
      </c>
      <c r="G891" s="2">
        <v>1</v>
      </c>
      <c r="H891" s="2">
        <v>66</v>
      </c>
      <c r="I891" s="2">
        <v>25</v>
      </c>
      <c r="J891" t="str">
        <f>_xlfn.XLOOKUP(Table2[[#This Row],[Customer_ID]],Table1[Customer_ID],Table1[Customer_Name])</f>
        <v>Lily Weatherford</v>
      </c>
    </row>
    <row r="892" spans="1:10" x14ac:dyDescent="0.35">
      <c r="A892" s="4">
        <v>41004</v>
      </c>
      <c r="B892" s="2">
        <v>10930</v>
      </c>
      <c r="C892" s="2">
        <v>164</v>
      </c>
      <c r="D892" s="2">
        <v>83</v>
      </c>
      <c r="F892" s="2">
        <v>1</v>
      </c>
      <c r="G892" s="2">
        <v>1</v>
      </c>
      <c r="H892" s="2">
        <v>763</v>
      </c>
      <c r="I892" s="2">
        <v>25</v>
      </c>
      <c r="J892" t="str">
        <f>_xlfn.XLOOKUP(Table2[[#This Row],[Customer_ID]],Table1[Customer_ID],Table1[Customer_Name])</f>
        <v>Lily Weatherford</v>
      </c>
    </row>
    <row r="893" spans="1:10" x14ac:dyDescent="0.35">
      <c r="A893" s="4">
        <v>41004</v>
      </c>
      <c r="B893" s="2">
        <v>10930</v>
      </c>
      <c r="C893" s="2">
        <v>43</v>
      </c>
      <c r="D893" s="2">
        <v>83</v>
      </c>
      <c r="F893" s="2">
        <v>1</v>
      </c>
      <c r="G893" s="2">
        <v>8</v>
      </c>
      <c r="H893" s="2">
        <v>41</v>
      </c>
      <c r="I893" s="2">
        <v>25</v>
      </c>
      <c r="J893" t="str">
        <f>_xlfn.XLOOKUP(Table2[[#This Row],[Customer_ID]],Table1[Customer_ID],Table1[Customer_Name])</f>
        <v>Lily Weatherford</v>
      </c>
    </row>
    <row r="894" spans="1:10" x14ac:dyDescent="0.35">
      <c r="A894" s="4">
        <v>41007</v>
      </c>
      <c r="B894" s="2">
        <v>10934</v>
      </c>
      <c r="C894" s="2">
        <v>198</v>
      </c>
      <c r="D894" s="2">
        <v>87</v>
      </c>
      <c r="F894" s="2">
        <v>1</v>
      </c>
      <c r="G894" s="2">
        <v>8</v>
      </c>
      <c r="H894" s="2">
        <v>3</v>
      </c>
      <c r="I894" s="2">
        <v>25</v>
      </c>
      <c r="J894" t="str">
        <f>_xlfn.XLOOKUP(Table2[[#This Row],[Customer_ID]],Table1[Customer_ID],Table1[Customer_Name])</f>
        <v>Lynnette Loyola</v>
      </c>
    </row>
    <row r="895" spans="1:10" x14ac:dyDescent="0.35">
      <c r="A895" s="4">
        <v>41007</v>
      </c>
      <c r="B895" s="2">
        <v>10936</v>
      </c>
      <c r="C895" s="2">
        <v>241</v>
      </c>
      <c r="D895" s="2">
        <v>89</v>
      </c>
      <c r="F895" s="2">
        <v>1</v>
      </c>
      <c r="G895" s="2">
        <v>1</v>
      </c>
      <c r="H895" s="2">
        <v>61</v>
      </c>
      <c r="I895" s="2">
        <v>25</v>
      </c>
      <c r="J895" t="str">
        <f>_xlfn.XLOOKUP(Table2[[#This Row],[Customer_ID]],Table1[Customer_ID],Table1[Customer_Name])</f>
        <v>Masako Moler</v>
      </c>
    </row>
    <row r="896" spans="1:10" x14ac:dyDescent="0.35">
      <c r="A896" s="4">
        <v>41008</v>
      </c>
      <c r="B896" s="2">
        <v>10938</v>
      </c>
      <c r="C896" s="2">
        <v>79</v>
      </c>
      <c r="D896" s="2">
        <v>91</v>
      </c>
      <c r="F896" s="2">
        <v>1</v>
      </c>
      <c r="G896" s="2">
        <v>4</v>
      </c>
      <c r="H896" s="2">
        <v>5</v>
      </c>
      <c r="I896" s="2">
        <v>25</v>
      </c>
      <c r="J896" t="str">
        <f>_xlfn.XLOOKUP(Table2[[#This Row],[Customer_ID]],Table1[Customer_ID],Table1[Customer_Name])</f>
        <v>Maybelle Bolt</v>
      </c>
    </row>
    <row r="897" spans="1:10" x14ac:dyDescent="0.35">
      <c r="A897" s="4">
        <v>41008</v>
      </c>
      <c r="B897" s="2">
        <v>10938</v>
      </c>
      <c r="C897" s="2">
        <v>78</v>
      </c>
      <c r="D897" s="2">
        <v>91</v>
      </c>
      <c r="F897" s="2">
        <v>1</v>
      </c>
      <c r="G897" s="2">
        <v>6</v>
      </c>
      <c r="H897" s="2">
        <v>14</v>
      </c>
      <c r="I897" s="2">
        <v>25</v>
      </c>
      <c r="J897" t="str">
        <f>_xlfn.XLOOKUP(Table2[[#This Row],[Customer_ID]],Table1[Customer_ID],Table1[Customer_Name])</f>
        <v>Maybelle Bolt</v>
      </c>
    </row>
    <row r="898" spans="1:10" x14ac:dyDescent="0.35">
      <c r="A898" s="4">
        <v>41008</v>
      </c>
      <c r="B898" s="2">
        <v>10938</v>
      </c>
      <c r="C898" s="2">
        <v>74</v>
      </c>
      <c r="D898" s="2">
        <v>91</v>
      </c>
      <c r="F898" s="2">
        <v>1</v>
      </c>
      <c r="G898" s="2">
        <v>4</v>
      </c>
      <c r="H898" s="2">
        <v>6</v>
      </c>
      <c r="I898" s="2">
        <v>25</v>
      </c>
      <c r="J898" t="str">
        <f>_xlfn.XLOOKUP(Table2[[#This Row],[Customer_ID]],Table1[Customer_ID],Table1[Customer_Name])</f>
        <v>Maybelle Bolt</v>
      </c>
    </row>
    <row r="899" spans="1:10" x14ac:dyDescent="0.35">
      <c r="A899" s="4">
        <v>41008</v>
      </c>
      <c r="B899" s="2">
        <v>10938</v>
      </c>
      <c r="C899" s="2">
        <v>86</v>
      </c>
      <c r="D899" s="2">
        <v>91</v>
      </c>
      <c r="F899" s="2">
        <v>1</v>
      </c>
      <c r="G899" s="2">
        <v>3</v>
      </c>
      <c r="H899" s="2">
        <v>22</v>
      </c>
      <c r="I899" s="2">
        <v>25</v>
      </c>
      <c r="J899" t="str">
        <f>_xlfn.XLOOKUP(Table2[[#This Row],[Customer_ID]],Table1[Customer_ID],Table1[Customer_Name])</f>
        <v>Maybelle Bolt</v>
      </c>
    </row>
    <row r="900" spans="1:10" x14ac:dyDescent="0.35">
      <c r="A900" s="4">
        <v>41009</v>
      </c>
      <c r="B900" s="2">
        <v>10940</v>
      </c>
      <c r="C900" s="2">
        <v>259</v>
      </c>
      <c r="D900" s="2">
        <v>93</v>
      </c>
      <c r="F900" s="2">
        <v>1</v>
      </c>
      <c r="G900" s="2">
        <v>8</v>
      </c>
      <c r="H900" s="2">
        <v>22</v>
      </c>
      <c r="I900" s="2">
        <v>25</v>
      </c>
      <c r="J900" t="str">
        <f>_xlfn.XLOOKUP(Table2[[#This Row],[Customer_ID]],Table1[Customer_ID],Table1[Customer_Name])</f>
        <v>Mervin Chiodo</v>
      </c>
    </row>
    <row r="901" spans="1:10" x14ac:dyDescent="0.35">
      <c r="A901" s="4">
        <v>41009</v>
      </c>
      <c r="B901" s="2">
        <v>10940</v>
      </c>
      <c r="C901" s="2">
        <v>358</v>
      </c>
      <c r="D901" s="2">
        <v>93</v>
      </c>
      <c r="F901" s="2">
        <v>1</v>
      </c>
      <c r="G901" s="2">
        <v>3</v>
      </c>
      <c r="H901" s="2">
        <v>26</v>
      </c>
      <c r="I901" s="2">
        <v>25</v>
      </c>
      <c r="J901" t="str">
        <f>_xlfn.XLOOKUP(Table2[[#This Row],[Customer_ID]],Table1[Customer_ID],Table1[Customer_Name])</f>
        <v>Mervin Chiodo</v>
      </c>
    </row>
    <row r="902" spans="1:10" x14ac:dyDescent="0.35">
      <c r="A902" s="4">
        <v>41009</v>
      </c>
      <c r="B902" s="2">
        <v>10942</v>
      </c>
      <c r="C902" s="2">
        <v>221</v>
      </c>
      <c r="D902" s="2">
        <v>95</v>
      </c>
      <c r="F902" s="2">
        <v>1</v>
      </c>
      <c r="G902" s="2">
        <v>4</v>
      </c>
      <c r="H902" s="2">
        <v>4</v>
      </c>
      <c r="I902" s="2">
        <v>25</v>
      </c>
      <c r="J902" t="str">
        <f>_xlfn.XLOOKUP(Table2[[#This Row],[Customer_ID]],Table1[Customer_ID],Table1[Customer_Name])</f>
        <v>Michelle Madonia</v>
      </c>
    </row>
    <row r="903" spans="1:10" x14ac:dyDescent="0.35">
      <c r="A903" s="4">
        <v>41010</v>
      </c>
      <c r="B903" s="2">
        <v>10944</v>
      </c>
      <c r="C903" s="2">
        <v>247</v>
      </c>
      <c r="D903" s="2">
        <v>97</v>
      </c>
      <c r="F903" s="2">
        <v>1</v>
      </c>
      <c r="G903" s="2">
        <v>1</v>
      </c>
      <c r="H903" s="2">
        <v>2</v>
      </c>
      <c r="I903" s="2">
        <v>25</v>
      </c>
      <c r="J903" t="str">
        <f>_xlfn.XLOOKUP(Table2[[#This Row],[Customer_ID]],Table1[Customer_ID],Table1[Customer_Name])</f>
        <v>Mitchell Doughtie</v>
      </c>
    </row>
    <row r="904" spans="1:10" x14ac:dyDescent="0.35">
      <c r="A904" s="4">
        <v>41010</v>
      </c>
      <c r="B904" s="2">
        <v>10944</v>
      </c>
      <c r="C904" s="2">
        <v>258</v>
      </c>
      <c r="D904" s="2">
        <v>97</v>
      </c>
      <c r="F904" s="2">
        <v>1</v>
      </c>
      <c r="G904" s="2">
        <v>4</v>
      </c>
      <c r="H904" s="2">
        <v>10</v>
      </c>
      <c r="I904" s="2">
        <v>25</v>
      </c>
      <c r="J904" t="str">
        <f>_xlfn.XLOOKUP(Table2[[#This Row],[Customer_ID]],Table1[Customer_ID],Table1[Customer_Name])</f>
        <v>Mitchell Doughtie</v>
      </c>
    </row>
    <row r="905" spans="1:10" x14ac:dyDescent="0.35">
      <c r="A905" s="4">
        <v>41010</v>
      </c>
      <c r="B905" s="2">
        <v>10946</v>
      </c>
      <c r="C905" s="2">
        <v>243</v>
      </c>
      <c r="D905" s="2">
        <v>99</v>
      </c>
      <c r="F905" s="2">
        <v>1</v>
      </c>
      <c r="G905" s="2">
        <v>1</v>
      </c>
      <c r="H905" s="2">
        <v>4</v>
      </c>
      <c r="I905" s="2">
        <v>25</v>
      </c>
      <c r="J905" t="str">
        <f>_xlfn.XLOOKUP(Table2[[#This Row],[Customer_ID]],Table1[Customer_ID],Table1[Customer_Name])</f>
        <v>Nana Nolette</v>
      </c>
    </row>
    <row r="906" spans="1:10" x14ac:dyDescent="0.35">
      <c r="A906" s="4">
        <v>41010</v>
      </c>
      <c r="B906" s="2">
        <v>10946</v>
      </c>
      <c r="C906" s="2">
        <v>244</v>
      </c>
      <c r="D906" s="2">
        <v>99</v>
      </c>
      <c r="F906" s="2">
        <v>1</v>
      </c>
      <c r="G906" s="2">
        <v>2</v>
      </c>
      <c r="H906" s="2">
        <v>3</v>
      </c>
      <c r="I906" s="2">
        <v>25</v>
      </c>
      <c r="J906" t="str">
        <f>_xlfn.XLOOKUP(Table2[[#This Row],[Customer_ID]],Table1[Customer_ID],Table1[Customer_Name])</f>
        <v>Nana Nolette</v>
      </c>
    </row>
    <row r="907" spans="1:10" x14ac:dyDescent="0.35">
      <c r="A907" s="4">
        <v>41010</v>
      </c>
      <c r="B907" s="2">
        <v>10944</v>
      </c>
      <c r="C907" s="2">
        <v>248</v>
      </c>
      <c r="D907" s="2">
        <v>97</v>
      </c>
      <c r="F907" s="2">
        <v>1</v>
      </c>
      <c r="G907" s="2">
        <v>2</v>
      </c>
      <c r="H907" s="2">
        <v>4</v>
      </c>
      <c r="I907" s="2">
        <v>25</v>
      </c>
      <c r="J907" t="str">
        <f>_xlfn.XLOOKUP(Table2[[#This Row],[Customer_ID]],Table1[Customer_ID],Table1[Customer_Name])</f>
        <v>Mitchell Doughtie</v>
      </c>
    </row>
    <row r="908" spans="1:10" x14ac:dyDescent="0.35">
      <c r="A908" s="4">
        <v>41010</v>
      </c>
      <c r="B908" s="2">
        <v>10946</v>
      </c>
      <c r="C908" s="2">
        <v>249</v>
      </c>
      <c r="D908" s="2">
        <v>99</v>
      </c>
      <c r="F908" s="2">
        <v>1</v>
      </c>
      <c r="G908" s="2">
        <v>6</v>
      </c>
      <c r="H908" s="2">
        <v>4</v>
      </c>
      <c r="I908" s="2">
        <v>25</v>
      </c>
      <c r="J908" t="str">
        <f>_xlfn.XLOOKUP(Table2[[#This Row],[Customer_ID]],Table1[Customer_ID],Table1[Customer_Name])</f>
        <v>Nana Nolette</v>
      </c>
    </row>
    <row r="909" spans="1:10" x14ac:dyDescent="0.35">
      <c r="A909" s="4">
        <v>41011</v>
      </c>
      <c r="B909" s="2">
        <v>10948</v>
      </c>
      <c r="C909" s="2">
        <v>384</v>
      </c>
      <c r="D909" s="2">
        <v>1</v>
      </c>
      <c r="E909" s="2">
        <v>94</v>
      </c>
      <c r="F909" s="2">
        <v>1</v>
      </c>
      <c r="G909" s="2">
        <v>1</v>
      </c>
      <c r="H909" s="2">
        <v>13</v>
      </c>
      <c r="I909" s="2">
        <v>25</v>
      </c>
      <c r="J909" t="str">
        <f>_xlfn.XLOOKUP(Table2[[#This Row],[Customer_ID]],Table1[Customer_ID],Table1[Customer_Name])</f>
        <v>Agatha Clauss</v>
      </c>
    </row>
    <row r="910" spans="1:10" x14ac:dyDescent="0.35">
      <c r="A910" s="4">
        <v>41011</v>
      </c>
      <c r="B910" s="2">
        <v>10948</v>
      </c>
      <c r="C910" s="2">
        <v>395</v>
      </c>
      <c r="D910" s="2">
        <v>1</v>
      </c>
      <c r="E910" s="2">
        <v>94</v>
      </c>
      <c r="F910" s="2">
        <v>1</v>
      </c>
      <c r="G910" s="2">
        <v>5</v>
      </c>
      <c r="H910" s="2">
        <v>14</v>
      </c>
      <c r="I910" s="2">
        <v>25</v>
      </c>
      <c r="J910" t="str">
        <f>_xlfn.XLOOKUP(Table2[[#This Row],[Customer_ID]],Table1[Customer_ID],Table1[Customer_Name])</f>
        <v>Agatha Clauss</v>
      </c>
    </row>
    <row r="911" spans="1:10" x14ac:dyDescent="0.35">
      <c r="A911" s="4">
        <v>41011</v>
      </c>
      <c r="B911" s="2">
        <v>10948</v>
      </c>
      <c r="C911" s="2">
        <v>390</v>
      </c>
      <c r="D911" s="2">
        <v>1</v>
      </c>
      <c r="E911" s="2">
        <v>94</v>
      </c>
      <c r="F911" s="2">
        <v>1</v>
      </c>
      <c r="G911" s="2">
        <v>3</v>
      </c>
      <c r="H911" s="2">
        <v>11</v>
      </c>
      <c r="I911" s="2">
        <v>25</v>
      </c>
      <c r="J911" t="str">
        <f>_xlfn.XLOOKUP(Table2[[#This Row],[Customer_ID]],Table1[Customer_ID],Table1[Customer_Name])</f>
        <v>Agatha Clauss</v>
      </c>
    </row>
    <row r="912" spans="1:10" x14ac:dyDescent="0.35">
      <c r="A912" s="4">
        <v>41014</v>
      </c>
      <c r="B912" s="2">
        <v>10950</v>
      </c>
      <c r="C912" s="2">
        <v>442</v>
      </c>
      <c r="D912" s="2">
        <v>3</v>
      </c>
      <c r="E912" s="2">
        <v>40</v>
      </c>
      <c r="F912" s="2">
        <v>1</v>
      </c>
      <c r="G912" s="2">
        <v>4</v>
      </c>
      <c r="H912" s="2">
        <v>30</v>
      </c>
      <c r="I912" s="2">
        <v>25</v>
      </c>
      <c r="J912" t="str">
        <f>_xlfn.XLOOKUP(Table2[[#This Row],[Customer_ID]],Table1[Customer_ID],Table1[Customer_Name])</f>
        <v>Alonzo Stoltz</v>
      </c>
    </row>
    <row r="913" spans="1:10" x14ac:dyDescent="0.35">
      <c r="A913" s="4">
        <v>41014</v>
      </c>
      <c r="B913" s="2">
        <v>10952</v>
      </c>
      <c r="C913" s="2">
        <v>456</v>
      </c>
      <c r="D913" s="2">
        <v>5</v>
      </c>
      <c r="E913" s="2">
        <v>27</v>
      </c>
      <c r="F913" s="2">
        <v>1</v>
      </c>
      <c r="G913" s="2">
        <v>1</v>
      </c>
      <c r="H913" s="2">
        <v>16</v>
      </c>
      <c r="I913" s="2">
        <v>25</v>
      </c>
      <c r="J913" t="str">
        <f>_xlfn.XLOOKUP(Table2[[#This Row],[Customer_ID]],Table1[Customer_ID],Table1[Customer_Name])</f>
        <v>Anette Abdulla</v>
      </c>
    </row>
    <row r="914" spans="1:10" x14ac:dyDescent="0.35">
      <c r="A914" s="4">
        <v>41014</v>
      </c>
      <c r="B914" s="2">
        <v>10952</v>
      </c>
      <c r="C914" s="2">
        <v>431</v>
      </c>
      <c r="D914" s="2">
        <v>5</v>
      </c>
      <c r="E914" s="2">
        <v>27</v>
      </c>
      <c r="F914" s="2">
        <v>1</v>
      </c>
      <c r="G914" s="2">
        <v>5</v>
      </c>
      <c r="H914" s="2">
        <v>15</v>
      </c>
      <c r="I914" s="2">
        <v>25</v>
      </c>
      <c r="J914" t="str">
        <f>_xlfn.XLOOKUP(Table2[[#This Row],[Customer_ID]],Table1[Customer_ID],Table1[Customer_Name])</f>
        <v>Anette Abdulla</v>
      </c>
    </row>
    <row r="915" spans="1:10" x14ac:dyDescent="0.35">
      <c r="A915" s="4">
        <v>41015</v>
      </c>
      <c r="B915" s="2">
        <v>10954</v>
      </c>
      <c r="C915" s="2">
        <v>414</v>
      </c>
      <c r="D915" s="2">
        <v>7</v>
      </c>
      <c r="E915" s="2">
        <v>32</v>
      </c>
      <c r="F915" s="2">
        <v>1</v>
      </c>
      <c r="G915" s="2">
        <v>8</v>
      </c>
      <c r="H915" s="2">
        <v>16</v>
      </c>
      <c r="I915" s="2">
        <v>25</v>
      </c>
      <c r="J915" t="str">
        <f>_xlfn.XLOOKUP(Table2[[#This Row],[Customer_ID]],Table1[Customer_ID],Table1[Customer_Name])</f>
        <v>Ardath Peaslee</v>
      </c>
    </row>
    <row r="916" spans="1:10" x14ac:dyDescent="0.35">
      <c r="A916" s="4">
        <v>41015</v>
      </c>
      <c r="B916" s="2">
        <v>10954</v>
      </c>
      <c r="C916" s="2">
        <v>292</v>
      </c>
      <c r="D916" s="2">
        <v>7</v>
      </c>
      <c r="E916" s="2">
        <v>32</v>
      </c>
      <c r="F916" s="2">
        <v>1</v>
      </c>
      <c r="G916" s="2">
        <v>5</v>
      </c>
      <c r="H916" s="2">
        <v>4</v>
      </c>
      <c r="I916" s="2">
        <v>25</v>
      </c>
      <c r="J916" t="str">
        <f>_xlfn.XLOOKUP(Table2[[#This Row],[Customer_ID]],Table1[Customer_ID],Table1[Customer_Name])</f>
        <v>Ardath Peaslee</v>
      </c>
    </row>
    <row r="917" spans="1:10" x14ac:dyDescent="0.35">
      <c r="A917" s="4">
        <v>41015</v>
      </c>
      <c r="B917" s="2">
        <v>10956</v>
      </c>
      <c r="C917" s="2">
        <v>254</v>
      </c>
      <c r="D917" s="2">
        <v>9</v>
      </c>
      <c r="E917" s="2">
        <v>97</v>
      </c>
      <c r="F917" s="2">
        <v>1</v>
      </c>
      <c r="G917" s="2">
        <v>7</v>
      </c>
      <c r="H917" s="2">
        <v>4</v>
      </c>
      <c r="I917" s="2">
        <v>25</v>
      </c>
      <c r="J917" t="str">
        <f>_xlfn.XLOOKUP(Table2[[#This Row],[Customer_ID]],Table1[Customer_ID],Table1[Customer_Name])</f>
        <v>Bernarda Caughey</v>
      </c>
    </row>
    <row r="918" spans="1:10" x14ac:dyDescent="0.35">
      <c r="A918" s="4">
        <v>41015</v>
      </c>
      <c r="B918" s="2">
        <v>10956</v>
      </c>
      <c r="C918" s="2">
        <v>353</v>
      </c>
      <c r="D918" s="2">
        <v>9</v>
      </c>
      <c r="E918" s="2">
        <v>97</v>
      </c>
      <c r="F918" s="2">
        <v>1</v>
      </c>
      <c r="G918" s="2">
        <v>2</v>
      </c>
      <c r="H918" s="2">
        <v>33</v>
      </c>
      <c r="I918" s="2">
        <v>25</v>
      </c>
      <c r="J918" t="str">
        <f>_xlfn.XLOOKUP(Table2[[#This Row],[Customer_ID]],Table1[Customer_ID],Table1[Customer_Name])</f>
        <v>Bernarda Caughey</v>
      </c>
    </row>
    <row r="919" spans="1:10" x14ac:dyDescent="0.35">
      <c r="A919" s="4">
        <v>41015</v>
      </c>
      <c r="B919" s="2">
        <v>10954</v>
      </c>
      <c r="C919" s="2">
        <v>426</v>
      </c>
      <c r="D919" s="2">
        <v>7</v>
      </c>
      <c r="E919" s="2">
        <v>32</v>
      </c>
      <c r="F919" s="2">
        <v>1</v>
      </c>
      <c r="G919" s="2">
        <v>2</v>
      </c>
      <c r="H919" s="2">
        <v>7</v>
      </c>
      <c r="I919" s="2">
        <v>25</v>
      </c>
      <c r="J919" t="str">
        <f>_xlfn.XLOOKUP(Table2[[#This Row],[Customer_ID]],Table1[Customer_ID],Table1[Customer_Name])</f>
        <v>Ardath Peaslee</v>
      </c>
    </row>
    <row r="920" spans="1:10" x14ac:dyDescent="0.35">
      <c r="A920" s="4">
        <v>41015</v>
      </c>
      <c r="B920" s="2">
        <v>10956</v>
      </c>
      <c r="C920" s="2">
        <v>428</v>
      </c>
      <c r="D920" s="2">
        <v>9</v>
      </c>
      <c r="E920" s="2">
        <v>97</v>
      </c>
      <c r="F920" s="2">
        <v>1</v>
      </c>
      <c r="G920" s="2">
        <v>1</v>
      </c>
      <c r="H920" s="2">
        <v>15</v>
      </c>
      <c r="I920" s="2">
        <v>25</v>
      </c>
      <c r="J920" t="str">
        <f>_xlfn.XLOOKUP(Table2[[#This Row],[Customer_ID]],Table1[Customer_ID],Table1[Customer_Name])</f>
        <v>Bernarda Caughey</v>
      </c>
    </row>
    <row r="921" spans="1:10" x14ac:dyDescent="0.35">
      <c r="A921" s="4">
        <v>41015</v>
      </c>
      <c r="B921" s="2">
        <v>10954</v>
      </c>
      <c r="C921" s="2">
        <v>425</v>
      </c>
      <c r="D921" s="2">
        <v>7</v>
      </c>
      <c r="E921" s="2">
        <v>32</v>
      </c>
      <c r="F921" s="2">
        <v>1</v>
      </c>
      <c r="G921" s="2">
        <v>1</v>
      </c>
      <c r="H921" s="2">
        <v>17</v>
      </c>
      <c r="I921" s="2">
        <v>25</v>
      </c>
      <c r="J921" t="str">
        <f>_xlfn.XLOOKUP(Table2[[#This Row],[Customer_ID]],Table1[Customer_ID],Table1[Customer_Name])</f>
        <v>Ardath Peaslee</v>
      </c>
    </row>
    <row r="922" spans="1:10" x14ac:dyDescent="0.35">
      <c r="A922" s="4">
        <v>41016</v>
      </c>
      <c r="B922" s="2">
        <v>10958</v>
      </c>
      <c r="C922" s="2">
        <v>387</v>
      </c>
      <c r="D922" s="2">
        <v>11</v>
      </c>
      <c r="E922" s="2">
        <v>79</v>
      </c>
      <c r="F922" s="2">
        <v>1</v>
      </c>
      <c r="G922" s="2">
        <v>2</v>
      </c>
      <c r="H922" s="2">
        <v>7</v>
      </c>
      <c r="I922" s="2">
        <v>25</v>
      </c>
      <c r="J922" t="str">
        <f>_xlfn.XLOOKUP(Table2[[#This Row],[Customer_ID]],Table1[Customer_ID],Table1[Customer_Name])</f>
        <v>Bonita Honaker</v>
      </c>
    </row>
    <row r="923" spans="1:10" x14ac:dyDescent="0.35">
      <c r="A923" s="4">
        <v>41016</v>
      </c>
      <c r="B923" s="2">
        <v>10958</v>
      </c>
      <c r="C923" s="2">
        <v>392</v>
      </c>
      <c r="D923" s="2">
        <v>11</v>
      </c>
      <c r="E923" s="2">
        <v>79</v>
      </c>
      <c r="F923" s="2">
        <v>1</v>
      </c>
      <c r="G923" s="2">
        <v>1</v>
      </c>
      <c r="H923" s="2">
        <v>6</v>
      </c>
      <c r="I923" s="2">
        <v>25</v>
      </c>
      <c r="J923" t="str">
        <f>_xlfn.XLOOKUP(Table2[[#This Row],[Customer_ID]],Table1[Customer_ID],Table1[Customer_Name])</f>
        <v>Bonita Honaker</v>
      </c>
    </row>
    <row r="924" spans="1:10" x14ac:dyDescent="0.35">
      <c r="A924" s="4">
        <v>41016</v>
      </c>
      <c r="B924" s="2">
        <v>10958</v>
      </c>
      <c r="C924" s="2">
        <v>397</v>
      </c>
      <c r="D924" s="2">
        <v>11</v>
      </c>
      <c r="E924" s="2">
        <v>79</v>
      </c>
      <c r="F924" s="2">
        <v>1</v>
      </c>
      <c r="G924" s="2">
        <v>7</v>
      </c>
      <c r="H924" s="2">
        <v>12</v>
      </c>
      <c r="I924" s="2">
        <v>25</v>
      </c>
      <c r="J924" t="str">
        <f>_xlfn.XLOOKUP(Table2[[#This Row],[Customer_ID]],Table1[Customer_ID],Table1[Customer_Name])</f>
        <v>Bonita Honaker</v>
      </c>
    </row>
    <row r="925" spans="1:10" x14ac:dyDescent="0.35">
      <c r="A925" s="4">
        <v>41017</v>
      </c>
      <c r="B925" s="2">
        <v>10962</v>
      </c>
      <c r="C925" s="2">
        <v>29</v>
      </c>
      <c r="D925" s="2">
        <v>15</v>
      </c>
      <c r="E925" s="2">
        <v>14</v>
      </c>
      <c r="F925" s="2">
        <v>1</v>
      </c>
      <c r="G925" s="2">
        <v>1</v>
      </c>
      <c r="H925" s="2">
        <v>647</v>
      </c>
      <c r="I925" s="2">
        <v>25</v>
      </c>
      <c r="J925" t="str">
        <f>_xlfn.XLOOKUP(Table2[[#This Row],[Customer_ID]],Table1[Customer_ID],Table1[Customer_Name])</f>
        <v>Caryn Conry</v>
      </c>
    </row>
    <row r="926" spans="1:10" x14ac:dyDescent="0.35">
      <c r="A926" s="4">
        <v>41017</v>
      </c>
      <c r="B926" s="2">
        <v>10960</v>
      </c>
      <c r="C926" s="2">
        <v>187</v>
      </c>
      <c r="D926" s="2">
        <v>13</v>
      </c>
      <c r="E926" s="2">
        <v>30</v>
      </c>
      <c r="F926" s="2">
        <v>1</v>
      </c>
      <c r="G926" s="2">
        <v>5</v>
      </c>
      <c r="H926" s="2">
        <v>413</v>
      </c>
      <c r="I926" s="2">
        <v>25</v>
      </c>
      <c r="J926" t="str">
        <f>_xlfn.XLOOKUP(Table2[[#This Row],[Customer_ID]],Table1[Customer_ID],Table1[Customer_Name])</f>
        <v>Bryant Ertel</v>
      </c>
    </row>
    <row r="927" spans="1:10" x14ac:dyDescent="0.35">
      <c r="A927" s="4">
        <v>41017</v>
      </c>
      <c r="B927" s="2">
        <v>10962</v>
      </c>
      <c r="C927" s="2">
        <v>188</v>
      </c>
      <c r="D927" s="2">
        <v>15</v>
      </c>
      <c r="E927" s="2">
        <v>14</v>
      </c>
      <c r="F927" s="2">
        <v>1</v>
      </c>
      <c r="G927" s="2">
        <v>2</v>
      </c>
      <c r="H927" s="2">
        <v>650</v>
      </c>
      <c r="I927" s="2">
        <v>25</v>
      </c>
      <c r="J927" t="str">
        <f>_xlfn.XLOOKUP(Table2[[#This Row],[Customer_ID]],Table1[Customer_ID],Table1[Customer_Name])</f>
        <v>Caryn Conry</v>
      </c>
    </row>
    <row r="928" spans="1:10" x14ac:dyDescent="0.35">
      <c r="A928" s="4">
        <v>41017</v>
      </c>
      <c r="B928" s="2">
        <v>10962</v>
      </c>
      <c r="C928" s="2">
        <v>27</v>
      </c>
      <c r="D928" s="2">
        <v>15</v>
      </c>
      <c r="E928" s="2">
        <v>14</v>
      </c>
      <c r="F928" s="2">
        <v>1</v>
      </c>
      <c r="G928" s="2">
        <v>5</v>
      </c>
      <c r="H928" s="2">
        <v>769</v>
      </c>
      <c r="I928" s="2">
        <v>25</v>
      </c>
      <c r="J928" t="str">
        <f>_xlfn.XLOOKUP(Table2[[#This Row],[Customer_ID]],Table1[Customer_ID],Table1[Customer_Name])</f>
        <v>Caryn Conry</v>
      </c>
    </row>
    <row r="929" spans="1:10" x14ac:dyDescent="0.35">
      <c r="A929" s="4">
        <v>41017</v>
      </c>
      <c r="B929" s="2">
        <v>10962</v>
      </c>
      <c r="C929" s="2">
        <v>28</v>
      </c>
      <c r="D929" s="2">
        <v>15</v>
      </c>
      <c r="E929" s="2">
        <v>14</v>
      </c>
      <c r="F929" s="2">
        <v>1</v>
      </c>
      <c r="G929" s="2">
        <v>6</v>
      </c>
      <c r="H929" s="2">
        <v>421</v>
      </c>
      <c r="I929" s="2">
        <v>25</v>
      </c>
      <c r="J929" t="str">
        <f>_xlfn.XLOOKUP(Table2[[#This Row],[Customer_ID]],Table1[Customer_ID],Table1[Customer_Name])</f>
        <v>Caryn Conry</v>
      </c>
    </row>
    <row r="930" spans="1:10" x14ac:dyDescent="0.35">
      <c r="A930" s="4">
        <v>41017</v>
      </c>
      <c r="B930" s="2">
        <v>10960</v>
      </c>
      <c r="C930" s="2">
        <v>184</v>
      </c>
      <c r="D930" s="2">
        <v>13</v>
      </c>
      <c r="E930" s="2">
        <v>30</v>
      </c>
      <c r="F930" s="2">
        <v>1</v>
      </c>
      <c r="G930" s="2">
        <v>3</v>
      </c>
      <c r="H930" s="2">
        <v>369</v>
      </c>
      <c r="I930" s="2">
        <v>25</v>
      </c>
      <c r="J930" t="str">
        <f>_xlfn.XLOOKUP(Table2[[#This Row],[Customer_ID]],Table1[Customer_ID],Table1[Customer_Name])</f>
        <v>Bryant Ertel</v>
      </c>
    </row>
    <row r="931" spans="1:10" x14ac:dyDescent="0.35">
      <c r="A931" s="4">
        <v>41017</v>
      </c>
      <c r="B931" s="2">
        <v>10962</v>
      </c>
      <c r="C931" s="2">
        <v>118</v>
      </c>
      <c r="D931" s="2">
        <v>15</v>
      </c>
      <c r="E931" s="2">
        <v>14</v>
      </c>
      <c r="F931" s="2">
        <v>1</v>
      </c>
      <c r="G931" s="2">
        <v>4</v>
      </c>
      <c r="H931" s="2">
        <v>983</v>
      </c>
      <c r="I931" s="2">
        <v>25</v>
      </c>
      <c r="J931" t="str">
        <f>_xlfn.XLOOKUP(Table2[[#This Row],[Customer_ID]],Table1[Customer_ID],Table1[Customer_Name])</f>
        <v>Caryn Conry</v>
      </c>
    </row>
    <row r="932" spans="1:10" x14ac:dyDescent="0.35">
      <c r="A932" s="4">
        <v>41018</v>
      </c>
      <c r="B932" s="2">
        <v>10964</v>
      </c>
      <c r="C932" s="2">
        <v>115</v>
      </c>
      <c r="D932" s="2">
        <v>17</v>
      </c>
      <c r="E932" s="2">
        <v>21</v>
      </c>
      <c r="F932" s="2">
        <v>1</v>
      </c>
      <c r="G932" s="2">
        <v>1</v>
      </c>
      <c r="H932" s="2">
        <v>2882</v>
      </c>
      <c r="I932" s="2">
        <v>25</v>
      </c>
      <c r="J932" t="str">
        <f>_xlfn.XLOOKUP(Table2[[#This Row],[Customer_ID]],Table1[Customer_ID],Table1[Customer_Name])</f>
        <v>Cecelia Beeler</v>
      </c>
    </row>
    <row r="933" spans="1:10" x14ac:dyDescent="0.35">
      <c r="A933" s="4">
        <v>41018</v>
      </c>
      <c r="B933" s="2">
        <v>10966</v>
      </c>
      <c r="C933" s="2">
        <v>33</v>
      </c>
      <c r="D933" s="2">
        <v>19</v>
      </c>
      <c r="E933" s="2">
        <v>58</v>
      </c>
      <c r="F933" s="2">
        <v>1</v>
      </c>
      <c r="G933" s="2">
        <v>4</v>
      </c>
      <c r="H933" s="2">
        <v>32</v>
      </c>
      <c r="I933" s="2">
        <v>25</v>
      </c>
      <c r="J933" t="str">
        <f>_xlfn.XLOOKUP(Table2[[#This Row],[Customer_ID]],Table1[Customer_ID],Table1[Customer_Name])</f>
        <v>Charlyn Sanroman</v>
      </c>
    </row>
    <row r="934" spans="1:10" x14ac:dyDescent="0.35">
      <c r="A934" s="4">
        <v>41018</v>
      </c>
      <c r="B934" s="2">
        <v>10966</v>
      </c>
      <c r="C934" s="2">
        <v>69</v>
      </c>
      <c r="D934" s="2">
        <v>19</v>
      </c>
      <c r="E934" s="2">
        <v>58</v>
      </c>
      <c r="F934" s="2">
        <v>1</v>
      </c>
      <c r="G934" s="2">
        <v>5</v>
      </c>
      <c r="H934" s="2">
        <v>21</v>
      </c>
      <c r="I934" s="2">
        <v>25</v>
      </c>
      <c r="J934" t="str">
        <f>_xlfn.XLOOKUP(Table2[[#This Row],[Customer_ID]],Table1[Customer_ID],Table1[Customer_Name])</f>
        <v>Charlyn Sanroman</v>
      </c>
    </row>
    <row r="935" spans="1:10" x14ac:dyDescent="0.35">
      <c r="A935" s="4">
        <v>41018</v>
      </c>
      <c r="B935" s="2">
        <v>10964</v>
      </c>
      <c r="C935" s="2">
        <v>114</v>
      </c>
      <c r="D935" s="2">
        <v>17</v>
      </c>
      <c r="E935" s="2">
        <v>21</v>
      </c>
      <c r="F935" s="2">
        <v>1</v>
      </c>
      <c r="G935" s="2">
        <v>2</v>
      </c>
      <c r="H935" s="2">
        <v>1952</v>
      </c>
      <c r="I935" s="2">
        <v>25</v>
      </c>
      <c r="J935" t="str">
        <f>_xlfn.XLOOKUP(Table2[[#This Row],[Customer_ID]],Table1[Customer_ID],Table1[Customer_Name])</f>
        <v>Cecelia Beeler</v>
      </c>
    </row>
    <row r="936" spans="1:10" x14ac:dyDescent="0.35">
      <c r="A936" s="4">
        <v>41018</v>
      </c>
      <c r="B936" s="2">
        <v>10966</v>
      </c>
      <c r="C936" s="2">
        <v>117</v>
      </c>
      <c r="D936" s="2">
        <v>19</v>
      </c>
      <c r="E936" s="2">
        <v>58</v>
      </c>
      <c r="F936" s="2">
        <v>1</v>
      </c>
      <c r="G936" s="2">
        <v>4</v>
      </c>
      <c r="H936" s="2">
        <v>3016</v>
      </c>
      <c r="I936" s="2">
        <v>25</v>
      </c>
      <c r="J936" t="str">
        <f>_xlfn.XLOOKUP(Table2[[#This Row],[Customer_ID]],Table1[Customer_ID],Table1[Customer_Name])</f>
        <v>Charlyn Sanroman</v>
      </c>
    </row>
    <row r="937" spans="1:10" x14ac:dyDescent="0.35">
      <c r="A937" s="4">
        <v>41018</v>
      </c>
      <c r="B937" s="2">
        <v>10964</v>
      </c>
      <c r="C937" s="2">
        <v>113</v>
      </c>
      <c r="D937" s="2">
        <v>17</v>
      </c>
      <c r="E937" s="2">
        <v>21</v>
      </c>
      <c r="F937" s="2">
        <v>1</v>
      </c>
      <c r="G937" s="2">
        <v>2</v>
      </c>
      <c r="H937" s="2">
        <v>1301</v>
      </c>
      <c r="I937" s="2">
        <v>25</v>
      </c>
      <c r="J937" t="str">
        <f>_xlfn.XLOOKUP(Table2[[#This Row],[Customer_ID]],Table1[Customer_ID],Table1[Customer_Name])</f>
        <v>Cecelia Beeler</v>
      </c>
    </row>
    <row r="938" spans="1:10" x14ac:dyDescent="0.35">
      <c r="A938" s="4">
        <v>41021</v>
      </c>
      <c r="B938" s="2">
        <v>10968</v>
      </c>
      <c r="C938" s="2">
        <v>302</v>
      </c>
      <c r="D938" s="2">
        <v>21</v>
      </c>
      <c r="E938" s="2">
        <v>61</v>
      </c>
      <c r="F938" s="2">
        <v>1</v>
      </c>
      <c r="G938" s="2">
        <v>8</v>
      </c>
      <c r="H938" s="2">
        <v>15</v>
      </c>
      <c r="I938" s="2">
        <v>25</v>
      </c>
      <c r="J938" t="str">
        <f>_xlfn.XLOOKUP(Table2[[#This Row],[Customer_ID]],Table1[Customer_ID],Table1[Customer_Name])</f>
        <v>Clemencia Gwyn</v>
      </c>
    </row>
    <row r="939" spans="1:10" x14ac:dyDescent="0.35">
      <c r="A939" s="4">
        <v>41021</v>
      </c>
      <c r="B939" s="2">
        <v>10968</v>
      </c>
      <c r="C939" s="2">
        <v>313</v>
      </c>
      <c r="D939" s="2">
        <v>21</v>
      </c>
      <c r="E939" s="2">
        <v>61</v>
      </c>
      <c r="F939" s="2">
        <v>1</v>
      </c>
      <c r="G939" s="2">
        <v>1</v>
      </c>
      <c r="H939" s="2">
        <v>5</v>
      </c>
      <c r="I939" s="2">
        <v>25</v>
      </c>
      <c r="J939" t="str">
        <f>_xlfn.XLOOKUP(Table2[[#This Row],[Customer_ID]],Table1[Customer_ID],Table1[Customer_Name])</f>
        <v>Clemencia Gwyn</v>
      </c>
    </row>
    <row r="940" spans="1:10" x14ac:dyDescent="0.35">
      <c r="A940" s="4">
        <v>41021</v>
      </c>
      <c r="B940" s="2">
        <v>10968</v>
      </c>
      <c r="C940" s="2">
        <v>45</v>
      </c>
      <c r="D940" s="2">
        <v>21</v>
      </c>
      <c r="E940" s="2">
        <v>61</v>
      </c>
      <c r="F940" s="2">
        <v>1</v>
      </c>
      <c r="G940" s="2">
        <v>3</v>
      </c>
      <c r="H940" s="2">
        <v>31</v>
      </c>
      <c r="I940" s="2">
        <v>25</v>
      </c>
      <c r="J940" t="str">
        <f>_xlfn.XLOOKUP(Table2[[#This Row],[Customer_ID]],Table1[Customer_ID],Table1[Customer_Name])</f>
        <v>Clemencia Gwyn</v>
      </c>
    </row>
    <row r="941" spans="1:10" x14ac:dyDescent="0.35">
      <c r="A941" s="4">
        <v>41022</v>
      </c>
      <c r="B941" s="2">
        <v>10970</v>
      </c>
      <c r="C941" s="2">
        <v>349</v>
      </c>
      <c r="D941" s="2">
        <v>23</v>
      </c>
      <c r="E941" s="2">
        <v>80</v>
      </c>
      <c r="F941" s="2">
        <v>1</v>
      </c>
      <c r="G941" s="2">
        <v>1</v>
      </c>
      <c r="H941" s="2">
        <v>7</v>
      </c>
      <c r="I941" s="2">
        <v>25</v>
      </c>
      <c r="J941" t="str">
        <f>_xlfn.XLOOKUP(Table2[[#This Row],[Customer_ID]],Table1[Customer_ID],Table1[Customer_Name])</f>
        <v>Collette Romain</v>
      </c>
    </row>
    <row r="942" spans="1:10" x14ac:dyDescent="0.35">
      <c r="A942" s="4">
        <v>41022</v>
      </c>
      <c r="B942" s="2">
        <v>10972</v>
      </c>
      <c r="C942" s="2">
        <v>263</v>
      </c>
      <c r="D942" s="2">
        <v>25</v>
      </c>
      <c r="E942" s="2">
        <v>72</v>
      </c>
      <c r="F942" s="2">
        <v>1</v>
      </c>
      <c r="G942" s="2">
        <v>1</v>
      </c>
      <c r="H942" s="2">
        <v>3</v>
      </c>
      <c r="I942" s="2">
        <v>25</v>
      </c>
      <c r="J942" t="str">
        <f>_xlfn.XLOOKUP(Table2[[#This Row],[Customer_ID]],Table1[Customer_ID],Table1[Customer_Name])</f>
        <v>Cristy Claire</v>
      </c>
    </row>
    <row r="943" spans="1:10" x14ac:dyDescent="0.35">
      <c r="A943" s="4">
        <v>41022</v>
      </c>
      <c r="B943" s="2">
        <v>10972</v>
      </c>
      <c r="C943" s="2">
        <v>46</v>
      </c>
      <c r="D943" s="2">
        <v>25</v>
      </c>
      <c r="E943" s="2">
        <v>72</v>
      </c>
      <c r="F943" s="2">
        <v>1</v>
      </c>
      <c r="G943" s="2">
        <v>1</v>
      </c>
      <c r="H943" s="2">
        <v>33</v>
      </c>
      <c r="I943" s="2">
        <v>25</v>
      </c>
      <c r="J943" t="str">
        <f>_xlfn.XLOOKUP(Table2[[#This Row],[Customer_ID]],Table1[Customer_ID],Table1[Customer_Name])</f>
        <v>Cristy Claire</v>
      </c>
    </row>
    <row r="944" spans="1:10" x14ac:dyDescent="0.35">
      <c r="A944" s="4">
        <v>41023</v>
      </c>
      <c r="B944" s="2">
        <v>10974</v>
      </c>
      <c r="C944" s="2">
        <v>355</v>
      </c>
      <c r="D944" s="2">
        <v>27</v>
      </c>
      <c r="E944" s="2">
        <v>56</v>
      </c>
      <c r="F944" s="2">
        <v>1</v>
      </c>
      <c r="G944" s="2">
        <v>1</v>
      </c>
      <c r="H944" s="2">
        <v>62</v>
      </c>
      <c r="I944" s="2">
        <v>25</v>
      </c>
      <c r="J944" t="str">
        <f>_xlfn.XLOOKUP(Table2[[#This Row],[Customer_ID]],Table1[Customer_ID],Table1[Customer_Name])</f>
        <v>Daniel Emmerich</v>
      </c>
    </row>
    <row r="945" spans="1:10" x14ac:dyDescent="0.35">
      <c r="A945" s="4">
        <v>41023</v>
      </c>
      <c r="B945" s="2">
        <v>10976</v>
      </c>
      <c r="C945" s="2">
        <v>346</v>
      </c>
      <c r="D945" s="2">
        <v>29</v>
      </c>
      <c r="E945" s="2">
        <v>83</v>
      </c>
      <c r="F945" s="2">
        <v>1</v>
      </c>
      <c r="G945" s="2">
        <v>9</v>
      </c>
      <c r="H945" s="2">
        <v>2</v>
      </c>
      <c r="I945" s="2">
        <v>25</v>
      </c>
      <c r="J945" t="str">
        <f>_xlfn.XLOOKUP(Table2[[#This Row],[Customer_ID]],Table1[Customer_ID],Table1[Customer_Name])</f>
        <v>Deneen Client</v>
      </c>
    </row>
    <row r="946" spans="1:10" x14ac:dyDescent="0.35">
      <c r="A946" s="4">
        <v>41024</v>
      </c>
      <c r="B946" s="2">
        <v>10978</v>
      </c>
      <c r="C946" s="2">
        <v>153</v>
      </c>
      <c r="D946" s="2">
        <v>31</v>
      </c>
      <c r="E946" s="2">
        <v>55</v>
      </c>
      <c r="F946" s="2">
        <v>1</v>
      </c>
      <c r="G946" s="2">
        <v>3</v>
      </c>
      <c r="H946" s="2">
        <v>856</v>
      </c>
      <c r="I946" s="2">
        <v>25</v>
      </c>
      <c r="J946" t="str">
        <f>_xlfn.XLOOKUP(Table2[[#This Row],[Customer_ID]],Table1[Customer_ID],Table1[Customer_Name])</f>
        <v>Dona Kinkade</v>
      </c>
    </row>
    <row r="947" spans="1:10" x14ac:dyDescent="0.35">
      <c r="A947" s="4">
        <v>41024</v>
      </c>
      <c r="B947" s="2">
        <v>10978</v>
      </c>
      <c r="C947" s="2">
        <v>157</v>
      </c>
      <c r="D947" s="2">
        <v>31</v>
      </c>
      <c r="E947" s="2">
        <v>55</v>
      </c>
      <c r="F947" s="2">
        <v>1</v>
      </c>
      <c r="G947" s="2">
        <v>3</v>
      </c>
      <c r="H947" s="2">
        <v>1297</v>
      </c>
      <c r="I947" s="2">
        <v>25</v>
      </c>
      <c r="J947" t="str">
        <f>_xlfn.XLOOKUP(Table2[[#This Row],[Customer_ID]],Table1[Customer_ID],Table1[Customer_Name])</f>
        <v>Dona Kinkade</v>
      </c>
    </row>
    <row r="948" spans="1:10" x14ac:dyDescent="0.35">
      <c r="A948" s="4">
        <v>41024</v>
      </c>
      <c r="B948" s="2">
        <v>10978</v>
      </c>
      <c r="C948" s="2">
        <v>147</v>
      </c>
      <c r="D948" s="2">
        <v>31</v>
      </c>
      <c r="E948" s="2">
        <v>55</v>
      </c>
      <c r="F948" s="2">
        <v>1</v>
      </c>
      <c r="G948" s="2">
        <v>6</v>
      </c>
      <c r="H948" s="2">
        <v>576</v>
      </c>
      <c r="I948" s="2">
        <v>25</v>
      </c>
      <c r="J948" t="str">
        <f>_xlfn.XLOOKUP(Table2[[#This Row],[Customer_ID]],Table1[Customer_ID],Table1[Customer_Name])</f>
        <v>Dona Kinkade</v>
      </c>
    </row>
    <row r="949" spans="1:10" x14ac:dyDescent="0.35">
      <c r="A949" s="4">
        <v>41024</v>
      </c>
      <c r="B949" s="2">
        <v>10978</v>
      </c>
      <c r="C949" s="2">
        <v>177</v>
      </c>
      <c r="D949" s="2">
        <v>31</v>
      </c>
      <c r="E949" s="2">
        <v>55</v>
      </c>
      <c r="F949" s="2">
        <v>1</v>
      </c>
      <c r="G949" s="2">
        <v>8</v>
      </c>
      <c r="H949" s="2">
        <v>758</v>
      </c>
      <c r="I949" s="2">
        <v>25</v>
      </c>
      <c r="J949" t="str">
        <f>_xlfn.XLOOKUP(Table2[[#This Row],[Customer_ID]],Table1[Customer_ID],Table1[Customer_Name])</f>
        <v>Dona Kinkade</v>
      </c>
    </row>
    <row r="950" spans="1:10" x14ac:dyDescent="0.35">
      <c r="A950" s="4">
        <v>41025</v>
      </c>
      <c r="B950" s="2">
        <v>10980</v>
      </c>
      <c r="C950" s="2">
        <v>224</v>
      </c>
      <c r="D950" s="2">
        <v>33</v>
      </c>
      <c r="E950" s="2">
        <v>29</v>
      </c>
      <c r="F950" s="2">
        <v>1</v>
      </c>
      <c r="G950" s="2">
        <v>5</v>
      </c>
      <c r="H950" s="2">
        <v>5</v>
      </c>
      <c r="I950" s="2">
        <v>25</v>
      </c>
      <c r="J950" t="str">
        <f>_xlfn.XLOOKUP(Table2[[#This Row],[Customer_ID]],Table1[Customer_ID],Table1[Customer_Name])</f>
        <v>Douglas Swinson</v>
      </c>
    </row>
    <row r="951" spans="1:10" x14ac:dyDescent="0.35">
      <c r="A951" s="4">
        <v>41025</v>
      </c>
      <c r="B951" s="2">
        <v>10982</v>
      </c>
      <c r="C951" s="2">
        <v>365</v>
      </c>
      <c r="D951" s="2">
        <v>35</v>
      </c>
      <c r="E951" s="2">
        <v>5</v>
      </c>
      <c r="F951" s="2">
        <v>1</v>
      </c>
      <c r="G951" s="2">
        <v>5</v>
      </c>
      <c r="H951" s="2">
        <v>7</v>
      </c>
      <c r="I951" s="2">
        <v>25</v>
      </c>
      <c r="J951" t="str">
        <f>_xlfn.XLOOKUP(Table2[[#This Row],[Customer_ID]],Table1[Customer_ID],Table1[Customer_Name])</f>
        <v>Dung Do</v>
      </c>
    </row>
    <row r="952" spans="1:10" x14ac:dyDescent="0.35">
      <c r="A952" s="4">
        <v>41025</v>
      </c>
      <c r="B952" s="2">
        <v>10982</v>
      </c>
      <c r="C952" s="2">
        <v>315</v>
      </c>
      <c r="D952" s="2">
        <v>35</v>
      </c>
      <c r="E952" s="2">
        <v>5</v>
      </c>
      <c r="F952" s="2">
        <v>1</v>
      </c>
      <c r="G952" s="2">
        <v>1</v>
      </c>
      <c r="H952" s="2">
        <v>7</v>
      </c>
      <c r="I952" s="2">
        <v>25</v>
      </c>
      <c r="J952" t="str">
        <f>_xlfn.XLOOKUP(Table2[[#This Row],[Customer_ID]],Table1[Customer_ID],Table1[Customer_Name])</f>
        <v>Dung Do</v>
      </c>
    </row>
    <row r="953" spans="1:10" x14ac:dyDescent="0.35">
      <c r="A953" s="4">
        <v>41028</v>
      </c>
      <c r="B953" s="2">
        <v>10986</v>
      </c>
      <c r="C953" s="2">
        <v>96</v>
      </c>
      <c r="D953" s="2">
        <v>39</v>
      </c>
      <c r="E953" s="2">
        <v>58</v>
      </c>
      <c r="F953" s="2">
        <v>1</v>
      </c>
      <c r="G953" s="2">
        <v>2</v>
      </c>
      <c r="H953" s="2">
        <v>904</v>
      </c>
      <c r="I953" s="2">
        <v>25</v>
      </c>
      <c r="J953" t="str">
        <f>_xlfn.XLOOKUP(Table2[[#This Row],[Customer_ID]],Table1[Customer_ID],Table1[Customer_Name])</f>
        <v>Edythe Manney</v>
      </c>
    </row>
    <row r="954" spans="1:10" x14ac:dyDescent="0.35">
      <c r="A954" s="4">
        <v>41028</v>
      </c>
      <c r="B954" s="2">
        <v>10986</v>
      </c>
      <c r="C954" s="2">
        <v>97</v>
      </c>
      <c r="D954" s="2">
        <v>39</v>
      </c>
      <c r="E954" s="2">
        <v>58</v>
      </c>
      <c r="F954" s="2">
        <v>1</v>
      </c>
      <c r="G954" s="2">
        <v>3</v>
      </c>
      <c r="H954" s="2">
        <v>888</v>
      </c>
      <c r="I954" s="2">
        <v>25</v>
      </c>
      <c r="J954" t="str">
        <f>_xlfn.XLOOKUP(Table2[[#This Row],[Customer_ID]],Table1[Customer_ID],Table1[Customer_Name])</f>
        <v>Edythe Manney</v>
      </c>
    </row>
    <row r="955" spans="1:10" x14ac:dyDescent="0.35">
      <c r="A955" s="4">
        <v>41028</v>
      </c>
      <c r="B955" s="2">
        <v>10984</v>
      </c>
      <c r="C955" s="2">
        <v>95</v>
      </c>
      <c r="D955" s="2">
        <v>37</v>
      </c>
      <c r="E955" s="2">
        <v>92</v>
      </c>
      <c r="F955" s="2">
        <v>1</v>
      </c>
      <c r="G955" s="2">
        <v>1</v>
      </c>
      <c r="H955" s="2">
        <v>895</v>
      </c>
      <c r="I955" s="2">
        <v>25</v>
      </c>
      <c r="J955" t="str">
        <f>_xlfn.XLOOKUP(Table2[[#This Row],[Customer_ID]],Table1[Customer_ID],Table1[Customer_Name])</f>
        <v>Edda Mcquillen</v>
      </c>
    </row>
    <row r="956" spans="1:10" x14ac:dyDescent="0.35">
      <c r="A956" s="4">
        <v>41028</v>
      </c>
      <c r="B956" s="2">
        <v>10986</v>
      </c>
      <c r="C956" s="2">
        <v>92</v>
      </c>
      <c r="D956" s="2">
        <v>39</v>
      </c>
      <c r="E956" s="2">
        <v>58</v>
      </c>
      <c r="F956" s="2">
        <v>1</v>
      </c>
      <c r="G956" s="2">
        <v>3</v>
      </c>
      <c r="H956" s="2">
        <v>632</v>
      </c>
      <c r="I956" s="2">
        <v>25</v>
      </c>
      <c r="J956" t="str">
        <f>_xlfn.XLOOKUP(Table2[[#This Row],[Customer_ID]],Table1[Customer_ID],Table1[Customer_Name])</f>
        <v>Edythe Manney</v>
      </c>
    </row>
    <row r="957" spans="1:10" x14ac:dyDescent="0.35">
      <c r="A957" s="4">
        <v>41028</v>
      </c>
      <c r="B957" s="2">
        <v>10984</v>
      </c>
      <c r="C957" s="2">
        <v>90</v>
      </c>
      <c r="D957" s="2">
        <v>37</v>
      </c>
      <c r="E957" s="2">
        <v>92</v>
      </c>
      <c r="F957" s="2">
        <v>1</v>
      </c>
      <c r="G957" s="2">
        <v>3</v>
      </c>
      <c r="H957" s="2">
        <v>670</v>
      </c>
      <c r="I957" s="2">
        <v>25</v>
      </c>
      <c r="J957" t="str">
        <f>_xlfn.XLOOKUP(Table2[[#This Row],[Customer_ID]],Table1[Customer_ID],Table1[Customer_Name])</f>
        <v>Edda Mcquillen</v>
      </c>
    </row>
    <row r="958" spans="1:10" x14ac:dyDescent="0.35">
      <c r="A958" s="4">
        <v>41028</v>
      </c>
      <c r="B958" s="2">
        <v>10986</v>
      </c>
      <c r="C958" s="2">
        <v>89</v>
      </c>
      <c r="D958" s="2">
        <v>39</v>
      </c>
      <c r="E958" s="2">
        <v>58</v>
      </c>
      <c r="F958" s="2">
        <v>1</v>
      </c>
      <c r="G958" s="2">
        <v>7</v>
      </c>
      <c r="H958" s="2">
        <v>543</v>
      </c>
      <c r="I958" s="2">
        <v>25</v>
      </c>
      <c r="J958" t="str">
        <f>_xlfn.XLOOKUP(Table2[[#This Row],[Customer_ID]],Table1[Customer_ID],Table1[Customer_Name])</f>
        <v>Edythe Manney</v>
      </c>
    </row>
    <row r="959" spans="1:10" x14ac:dyDescent="0.35">
      <c r="A959" s="4">
        <v>41028</v>
      </c>
      <c r="B959" s="2">
        <v>10984</v>
      </c>
      <c r="C959" s="2">
        <v>364</v>
      </c>
      <c r="D959" s="2">
        <v>37</v>
      </c>
      <c r="E959" s="2">
        <v>92</v>
      </c>
      <c r="F959" s="2">
        <v>1</v>
      </c>
      <c r="G959" s="2">
        <v>6</v>
      </c>
      <c r="H959" s="2">
        <v>6</v>
      </c>
      <c r="I959" s="2">
        <v>25</v>
      </c>
      <c r="J959" t="str">
        <f>_xlfn.XLOOKUP(Table2[[#This Row],[Customer_ID]],Table1[Customer_ID],Table1[Customer_Name])</f>
        <v>Edda Mcquillen</v>
      </c>
    </row>
    <row r="960" spans="1:10" x14ac:dyDescent="0.35">
      <c r="A960" s="4">
        <v>41029</v>
      </c>
      <c r="B960" s="2">
        <v>10988</v>
      </c>
      <c r="C960" s="2">
        <v>99</v>
      </c>
      <c r="D960" s="2">
        <v>41</v>
      </c>
      <c r="E960" s="2">
        <v>50</v>
      </c>
      <c r="F960" s="2">
        <v>1</v>
      </c>
      <c r="G960" s="2">
        <v>2</v>
      </c>
      <c r="H960" s="2">
        <v>1611</v>
      </c>
      <c r="I960" s="2">
        <v>25</v>
      </c>
      <c r="J960" t="str">
        <f>_xlfn.XLOOKUP(Table2[[#This Row],[Customer_ID]],Table1[Customer_ID],Table1[Customer_Name])</f>
        <v>Elicia Rea</v>
      </c>
    </row>
    <row r="961" spans="1:10" x14ac:dyDescent="0.35">
      <c r="A961" s="4">
        <v>41029</v>
      </c>
      <c r="B961" s="2">
        <v>10988</v>
      </c>
      <c r="C961" s="2">
        <v>98</v>
      </c>
      <c r="D961" s="2">
        <v>41</v>
      </c>
      <c r="E961" s="2">
        <v>50</v>
      </c>
      <c r="F961" s="2">
        <v>1</v>
      </c>
      <c r="G961" s="2">
        <v>1</v>
      </c>
      <c r="H961" s="2">
        <v>1859</v>
      </c>
      <c r="I961" s="2">
        <v>25</v>
      </c>
      <c r="J961" t="str">
        <f>_xlfn.XLOOKUP(Table2[[#This Row],[Customer_ID]],Table1[Customer_ID],Table1[Customer_Name])</f>
        <v>Elicia Rea</v>
      </c>
    </row>
    <row r="962" spans="1:10" x14ac:dyDescent="0.35">
      <c r="A962" s="4">
        <v>41030</v>
      </c>
      <c r="B962" s="2">
        <v>10990</v>
      </c>
      <c r="C962" s="2">
        <v>448</v>
      </c>
      <c r="D962" s="2">
        <v>43</v>
      </c>
      <c r="E962" s="2">
        <v>17</v>
      </c>
      <c r="F962" s="2">
        <v>1</v>
      </c>
      <c r="G962" s="2">
        <v>4</v>
      </c>
      <c r="H962" s="2">
        <v>47</v>
      </c>
      <c r="I962" s="2">
        <v>25</v>
      </c>
      <c r="J962" t="str">
        <f>_xlfn.XLOOKUP(Table2[[#This Row],[Customer_ID]],Table1[Customer_ID],Table1[Customer_Name])</f>
        <v>Eric Eshelman</v>
      </c>
    </row>
    <row r="963" spans="1:10" x14ac:dyDescent="0.35">
      <c r="A963" s="4">
        <v>41030</v>
      </c>
      <c r="B963" s="2">
        <v>10992</v>
      </c>
      <c r="C963" s="2">
        <v>236</v>
      </c>
      <c r="D963" s="2">
        <v>45</v>
      </c>
      <c r="E963" s="2">
        <v>47</v>
      </c>
      <c r="F963" s="2">
        <v>1</v>
      </c>
      <c r="G963" s="2">
        <v>6</v>
      </c>
      <c r="H963" s="2">
        <v>28</v>
      </c>
      <c r="I963" s="2">
        <v>25</v>
      </c>
      <c r="J963" t="str">
        <f>_xlfn.XLOOKUP(Table2[[#This Row],[Customer_ID]],Table1[Customer_ID],Table1[Customer_Name])</f>
        <v>Everette Ellery</v>
      </c>
    </row>
    <row r="964" spans="1:10" x14ac:dyDescent="0.35">
      <c r="A964" s="4">
        <v>41030</v>
      </c>
      <c r="B964" s="2">
        <v>10990</v>
      </c>
      <c r="C964" s="2">
        <v>420</v>
      </c>
      <c r="D964" s="2">
        <v>43</v>
      </c>
      <c r="E964" s="2">
        <v>17</v>
      </c>
      <c r="F964" s="2">
        <v>1</v>
      </c>
      <c r="G964" s="2">
        <v>2</v>
      </c>
      <c r="H964" s="2">
        <v>17</v>
      </c>
      <c r="I964" s="2">
        <v>25</v>
      </c>
      <c r="J964" t="str">
        <f>_xlfn.XLOOKUP(Table2[[#This Row],[Customer_ID]],Table1[Customer_ID],Table1[Customer_Name])</f>
        <v>Eric Eshelman</v>
      </c>
    </row>
    <row r="965" spans="1:10" x14ac:dyDescent="0.35">
      <c r="A965" s="4">
        <v>41030</v>
      </c>
      <c r="B965" s="2">
        <v>10990</v>
      </c>
      <c r="C965" s="2">
        <v>452</v>
      </c>
      <c r="D965" s="2">
        <v>43</v>
      </c>
      <c r="E965" s="2">
        <v>17</v>
      </c>
      <c r="F965" s="2">
        <v>1</v>
      </c>
      <c r="G965" s="2">
        <v>4</v>
      </c>
      <c r="H965" s="2">
        <v>24</v>
      </c>
      <c r="I965" s="2">
        <v>25</v>
      </c>
      <c r="J965" t="str">
        <f>_xlfn.XLOOKUP(Table2[[#This Row],[Customer_ID]],Table1[Customer_ID],Table1[Customer_Name])</f>
        <v>Eric Eshelman</v>
      </c>
    </row>
    <row r="966" spans="1:10" x14ac:dyDescent="0.35">
      <c r="A966" s="4">
        <v>41030</v>
      </c>
      <c r="B966" s="2">
        <v>10990</v>
      </c>
      <c r="C966" s="2">
        <v>423</v>
      </c>
      <c r="D966" s="2">
        <v>43</v>
      </c>
      <c r="E966" s="2">
        <v>17</v>
      </c>
      <c r="F966" s="2">
        <v>1</v>
      </c>
      <c r="G966" s="2">
        <v>1</v>
      </c>
      <c r="H966" s="2">
        <v>18</v>
      </c>
      <c r="I966" s="2">
        <v>25</v>
      </c>
      <c r="J966" t="str">
        <f>_xlfn.XLOOKUP(Table2[[#This Row],[Customer_ID]],Table1[Customer_ID],Table1[Customer_Name])</f>
        <v>Eric Eshelman</v>
      </c>
    </row>
    <row r="967" spans="1:10" x14ac:dyDescent="0.35">
      <c r="A967" s="4">
        <v>41031</v>
      </c>
      <c r="B967" s="2">
        <v>10996</v>
      </c>
      <c r="C967" s="2">
        <v>60</v>
      </c>
      <c r="D967" s="2">
        <v>49</v>
      </c>
      <c r="E967" s="2">
        <v>51</v>
      </c>
      <c r="F967" s="2">
        <v>1</v>
      </c>
      <c r="G967" s="2">
        <v>1</v>
      </c>
      <c r="H967" s="2">
        <v>4</v>
      </c>
      <c r="I967" s="2">
        <v>25</v>
      </c>
      <c r="J967" t="str">
        <f>_xlfn.XLOOKUP(Table2[[#This Row],[Customer_ID]],Table1[Customer_ID],Table1[Customer_Name])</f>
        <v>Geraldo Stickney</v>
      </c>
    </row>
    <row r="968" spans="1:10" x14ac:dyDescent="0.35">
      <c r="A968" s="4">
        <v>41031</v>
      </c>
      <c r="B968" s="2">
        <v>10994</v>
      </c>
      <c r="C968" s="2">
        <v>58</v>
      </c>
      <c r="D968" s="2">
        <v>47</v>
      </c>
      <c r="E968" s="2">
        <v>1</v>
      </c>
      <c r="F968" s="2">
        <v>1</v>
      </c>
      <c r="G968" s="2">
        <v>3</v>
      </c>
      <c r="H968" s="2">
        <v>14</v>
      </c>
      <c r="I968" s="2">
        <v>25</v>
      </c>
      <c r="J968" t="str">
        <f>_xlfn.XLOOKUP(Table2[[#This Row],[Customer_ID]],Table1[Customer_ID],Table1[Customer_Name])</f>
        <v>Fe Finchum</v>
      </c>
    </row>
    <row r="969" spans="1:10" x14ac:dyDescent="0.35">
      <c r="A969" s="4">
        <v>41032</v>
      </c>
      <c r="B969" s="2">
        <v>10998</v>
      </c>
      <c r="C969" s="2">
        <v>54</v>
      </c>
      <c r="D969" s="2">
        <v>51</v>
      </c>
      <c r="E969" s="2">
        <v>24</v>
      </c>
      <c r="F969" s="2">
        <v>1</v>
      </c>
      <c r="G969" s="2">
        <v>1</v>
      </c>
      <c r="H969" s="2">
        <v>41</v>
      </c>
      <c r="I969" s="2">
        <v>25</v>
      </c>
      <c r="J969" t="str">
        <f>_xlfn.XLOOKUP(Table2[[#This Row],[Customer_ID]],Table1[Customer_ID],Table1[Customer_Name])</f>
        <v>Gladis Hasan</v>
      </c>
    </row>
    <row r="970" spans="1:10" x14ac:dyDescent="0.35">
      <c r="A970" s="4">
        <v>41032</v>
      </c>
      <c r="B970" s="2">
        <v>10998</v>
      </c>
      <c r="C970" s="2">
        <v>62</v>
      </c>
      <c r="D970" s="2">
        <v>51</v>
      </c>
      <c r="E970" s="2">
        <v>24</v>
      </c>
      <c r="F970" s="2">
        <v>1</v>
      </c>
      <c r="G970" s="2">
        <v>3</v>
      </c>
      <c r="H970" s="2">
        <v>6</v>
      </c>
      <c r="I970" s="2">
        <v>25</v>
      </c>
      <c r="J970" t="str">
        <f>_xlfn.XLOOKUP(Table2[[#This Row],[Customer_ID]],Table1[Customer_ID],Table1[Customer_Name])</f>
        <v>Gladis Hasan</v>
      </c>
    </row>
    <row r="971" spans="1:10" x14ac:dyDescent="0.35">
      <c r="A971" s="4">
        <v>41032</v>
      </c>
      <c r="B971" s="2">
        <v>10998</v>
      </c>
      <c r="C971" s="2">
        <v>192</v>
      </c>
      <c r="D971" s="2">
        <v>51</v>
      </c>
      <c r="E971" s="2">
        <v>24</v>
      </c>
      <c r="F971" s="2">
        <v>1</v>
      </c>
      <c r="G971" s="2">
        <v>3</v>
      </c>
      <c r="H971" s="2">
        <v>10</v>
      </c>
      <c r="I971" s="2">
        <v>25</v>
      </c>
      <c r="J971" t="str">
        <f>_xlfn.XLOOKUP(Table2[[#This Row],[Customer_ID]],Table1[Customer_ID],Table1[Customer_Name])</f>
        <v>Gladis Hasan</v>
      </c>
    </row>
    <row r="972" spans="1:10" x14ac:dyDescent="0.35">
      <c r="A972" s="4">
        <v>41032</v>
      </c>
      <c r="B972" s="2">
        <v>10998</v>
      </c>
      <c r="C972" s="2">
        <v>55</v>
      </c>
      <c r="D972" s="2">
        <v>51</v>
      </c>
      <c r="E972" s="2">
        <v>24</v>
      </c>
      <c r="F972" s="2">
        <v>1</v>
      </c>
      <c r="G972" s="2">
        <v>2</v>
      </c>
      <c r="H972" s="2">
        <v>20</v>
      </c>
      <c r="I972" s="2">
        <v>25</v>
      </c>
      <c r="J972" t="str">
        <f>_xlfn.XLOOKUP(Table2[[#This Row],[Customer_ID]],Table1[Customer_ID],Table1[Customer_Name])</f>
        <v>Gladis Hasan</v>
      </c>
    </row>
    <row r="973" spans="1:10" x14ac:dyDescent="0.35">
      <c r="A973" s="4">
        <v>41035</v>
      </c>
      <c r="B973" s="2">
        <v>11000</v>
      </c>
      <c r="C973" s="2">
        <v>416</v>
      </c>
      <c r="D973" s="2">
        <v>53</v>
      </c>
      <c r="E973" s="2">
        <v>43</v>
      </c>
      <c r="F973" s="2">
        <v>1</v>
      </c>
      <c r="G973" s="2">
        <v>4</v>
      </c>
      <c r="H973" s="2">
        <v>14</v>
      </c>
      <c r="I973" s="2">
        <v>25</v>
      </c>
      <c r="J973" t="str">
        <f>_xlfn.XLOOKUP(Table2[[#This Row],[Customer_ID]],Table1[Customer_ID],Table1[Customer_Name])</f>
        <v>Gracia Jelks</v>
      </c>
    </row>
    <row r="974" spans="1:10" x14ac:dyDescent="0.35">
      <c r="A974" s="4">
        <v>41035</v>
      </c>
      <c r="B974" s="2">
        <v>11002</v>
      </c>
      <c r="C974" s="2">
        <v>300</v>
      </c>
      <c r="D974" s="2">
        <v>55</v>
      </c>
      <c r="E974" s="2">
        <v>53</v>
      </c>
      <c r="F974" s="2">
        <v>1</v>
      </c>
      <c r="G974" s="2">
        <v>2</v>
      </c>
      <c r="H974" s="2">
        <v>19</v>
      </c>
      <c r="I974" s="2">
        <v>25</v>
      </c>
      <c r="J974" t="str">
        <f>_xlfn.XLOOKUP(Table2[[#This Row],[Customer_ID]],Table1[Customer_ID],Table1[Customer_Name])</f>
        <v>Harrison Hugh</v>
      </c>
    </row>
    <row r="975" spans="1:10" x14ac:dyDescent="0.35">
      <c r="A975" s="4">
        <v>41035</v>
      </c>
      <c r="B975" s="2">
        <v>11002</v>
      </c>
      <c r="C975" s="2">
        <v>454</v>
      </c>
      <c r="D975" s="2">
        <v>55</v>
      </c>
      <c r="E975" s="2">
        <v>53</v>
      </c>
      <c r="F975" s="2">
        <v>1</v>
      </c>
      <c r="G975" s="2">
        <v>1</v>
      </c>
      <c r="H975" s="2">
        <v>22</v>
      </c>
      <c r="I975" s="2">
        <v>25</v>
      </c>
      <c r="J975" t="str">
        <f>_xlfn.XLOOKUP(Table2[[#This Row],[Customer_ID]],Table1[Customer_ID],Table1[Customer_Name])</f>
        <v>Harrison Hugh</v>
      </c>
    </row>
    <row r="976" spans="1:10" x14ac:dyDescent="0.35">
      <c r="A976" s="4">
        <v>41035</v>
      </c>
      <c r="B976" s="2">
        <v>11002</v>
      </c>
      <c r="C976" s="2">
        <v>296</v>
      </c>
      <c r="D976" s="2">
        <v>55</v>
      </c>
      <c r="E976" s="2">
        <v>53</v>
      </c>
      <c r="F976" s="2">
        <v>1</v>
      </c>
      <c r="G976" s="2">
        <v>4</v>
      </c>
      <c r="H976" s="2">
        <v>3</v>
      </c>
      <c r="I976" s="2">
        <v>25</v>
      </c>
      <c r="J976" t="str">
        <f>_xlfn.XLOOKUP(Table2[[#This Row],[Customer_ID]],Table1[Customer_ID],Table1[Customer_Name])</f>
        <v>Harrison Hugh</v>
      </c>
    </row>
    <row r="977" spans="1:10" x14ac:dyDescent="0.35">
      <c r="A977" s="4">
        <v>41035</v>
      </c>
      <c r="B977" s="2">
        <v>11000</v>
      </c>
      <c r="C977" s="2">
        <v>437</v>
      </c>
      <c r="D977" s="2">
        <v>53</v>
      </c>
      <c r="E977" s="2">
        <v>43</v>
      </c>
      <c r="F977" s="2">
        <v>1</v>
      </c>
      <c r="G977" s="2">
        <v>8</v>
      </c>
      <c r="H977" s="2">
        <v>12</v>
      </c>
      <c r="I977" s="2">
        <v>25</v>
      </c>
      <c r="J977" t="str">
        <f>_xlfn.XLOOKUP(Table2[[#This Row],[Customer_ID]],Table1[Customer_ID],Table1[Customer_Name])</f>
        <v>Gracia Jelks</v>
      </c>
    </row>
    <row r="978" spans="1:10" x14ac:dyDescent="0.35">
      <c r="A978" s="4">
        <v>41035</v>
      </c>
      <c r="B978" s="2">
        <v>11000</v>
      </c>
      <c r="C978" s="2">
        <v>411</v>
      </c>
      <c r="D978" s="2">
        <v>53</v>
      </c>
      <c r="E978" s="2">
        <v>43</v>
      </c>
      <c r="F978" s="2">
        <v>1</v>
      </c>
      <c r="G978" s="2">
        <v>3</v>
      </c>
      <c r="H978" s="2">
        <v>16</v>
      </c>
      <c r="I978" s="2">
        <v>25</v>
      </c>
      <c r="J978" t="str">
        <f>_xlfn.XLOOKUP(Table2[[#This Row],[Customer_ID]],Table1[Customer_ID],Table1[Customer_Name])</f>
        <v>Gracia Jelks</v>
      </c>
    </row>
    <row r="979" spans="1:10" x14ac:dyDescent="0.35">
      <c r="A979" s="4">
        <v>41035</v>
      </c>
      <c r="B979" s="2">
        <v>11002</v>
      </c>
      <c r="C979" s="2">
        <v>419</v>
      </c>
      <c r="D979" s="2">
        <v>55</v>
      </c>
      <c r="E979" s="2">
        <v>53</v>
      </c>
      <c r="F979" s="2">
        <v>1</v>
      </c>
      <c r="G979" s="2">
        <v>9</v>
      </c>
      <c r="H979" s="2">
        <v>13</v>
      </c>
      <c r="I979" s="2">
        <v>25</v>
      </c>
      <c r="J979" t="str">
        <f>_xlfn.XLOOKUP(Table2[[#This Row],[Customer_ID]],Table1[Customer_ID],Table1[Customer_Name])</f>
        <v>Harrison Hugh</v>
      </c>
    </row>
    <row r="980" spans="1:10" x14ac:dyDescent="0.35">
      <c r="A980" s="4">
        <v>41036</v>
      </c>
      <c r="B980" s="2">
        <v>11006</v>
      </c>
      <c r="C980" s="2">
        <v>339</v>
      </c>
      <c r="D980" s="2">
        <v>59</v>
      </c>
      <c r="E980" s="2">
        <v>79</v>
      </c>
      <c r="F980" s="2">
        <v>1</v>
      </c>
      <c r="G980" s="2">
        <v>5</v>
      </c>
      <c r="H980" s="2">
        <v>2</v>
      </c>
      <c r="I980" s="2">
        <v>25</v>
      </c>
      <c r="J980" t="str">
        <f>_xlfn.XLOOKUP(Table2[[#This Row],[Customer_ID]],Table1[Customer_ID],Table1[Customer_Name])</f>
        <v>Janella Vallo</v>
      </c>
    </row>
    <row r="981" spans="1:10" x14ac:dyDescent="0.35">
      <c r="A981" s="4">
        <v>41036</v>
      </c>
      <c r="B981" s="2">
        <v>11004</v>
      </c>
      <c r="C981" s="2">
        <v>205</v>
      </c>
      <c r="D981" s="2">
        <v>57</v>
      </c>
      <c r="E981" s="2">
        <v>28</v>
      </c>
      <c r="F981" s="2">
        <v>1</v>
      </c>
      <c r="G981" s="2">
        <v>2</v>
      </c>
      <c r="H981" s="2">
        <v>9</v>
      </c>
      <c r="I981" s="2">
        <v>25</v>
      </c>
      <c r="J981" t="str">
        <f>_xlfn.XLOOKUP(Table2[[#This Row],[Customer_ID]],Table1[Customer_ID],Table1[Customer_Name])</f>
        <v>Ina Iversen</v>
      </c>
    </row>
    <row r="982" spans="1:10" x14ac:dyDescent="0.35">
      <c r="A982" s="4">
        <v>41036</v>
      </c>
      <c r="B982" s="2">
        <v>11004</v>
      </c>
      <c r="C982" s="2">
        <v>204</v>
      </c>
      <c r="D982" s="2">
        <v>57</v>
      </c>
      <c r="E982" s="2">
        <v>28</v>
      </c>
      <c r="F982" s="2">
        <v>1</v>
      </c>
      <c r="G982" s="2">
        <v>1</v>
      </c>
      <c r="H982" s="2">
        <v>9</v>
      </c>
      <c r="I982" s="2">
        <v>25</v>
      </c>
      <c r="J982" t="str">
        <f>_xlfn.XLOOKUP(Table2[[#This Row],[Customer_ID]],Table1[Customer_ID],Table1[Customer_Name])</f>
        <v>Ina Iversen</v>
      </c>
    </row>
    <row r="983" spans="1:10" x14ac:dyDescent="0.35">
      <c r="A983" s="4">
        <v>41036</v>
      </c>
      <c r="B983" s="2">
        <v>11006</v>
      </c>
      <c r="C983" s="2">
        <v>336</v>
      </c>
      <c r="D983" s="2">
        <v>59</v>
      </c>
      <c r="E983" s="2">
        <v>79</v>
      </c>
      <c r="F983" s="2">
        <v>1</v>
      </c>
      <c r="G983" s="2">
        <v>6</v>
      </c>
      <c r="H983" s="2">
        <v>5</v>
      </c>
      <c r="I983" s="2">
        <v>25</v>
      </c>
      <c r="J983" t="str">
        <f>_xlfn.XLOOKUP(Table2[[#This Row],[Customer_ID]],Table1[Customer_ID],Table1[Customer_Name])</f>
        <v>Janella Vallo</v>
      </c>
    </row>
    <row r="984" spans="1:10" x14ac:dyDescent="0.35">
      <c r="A984" s="4">
        <v>41037</v>
      </c>
      <c r="B984" s="2">
        <v>11008</v>
      </c>
      <c r="C984" s="2">
        <v>280</v>
      </c>
      <c r="D984" s="2">
        <v>61</v>
      </c>
      <c r="E984" s="2">
        <v>23</v>
      </c>
      <c r="F984" s="2">
        <v>1</v>
      </c>
      <c r="G984" s="2">
        <v>2</v>
      </c>
      <c r="H984" s="2">
        <v>2</v>
      </c>
      <c r="I984" s="2">
        <v>25</v>
      </c>
      <c r="J984" t="str">
        <f>_xlfn.XLOOKUP(Table2[[#This Row],[Customer_ID]],Table1[Customer_ID],Table1[Customer_Name])</f>
        <v>Jeanelle Joynes</v>
      </c>
    </row>
    <row r="985" spans="1:10" x14ac:dyDescent="0.35">
      <c r="A985" s="4">
        <v>41037</v>
      </c>
      <c r="B985" s="2">
        <v>11008</v>
      </c>
      <c r="C985" s="2">
        <v>348</v>
      </c>
      <c r="D985" s="2">
        <v>61</v>
      </c>
      <c r="E985" s="2">
        <v>23</v>
      </c>
      <c r="F985" s="2">
        <v>1</v>
      </c>
      <c r="G985" s="2">
        <v>1</v>
      </c>
      <c r="H985" s="2">
        <v>2</v>
      </c>
      <c r="I985" s="2">
        <v>25</v>
      </c>
      <c r="J985" t="str">
        <f>_xlfn.XLOOKUP(Table2[[#This Row],[Customer_ID]],Table1[Customer_ID],Table1[Customer_Name])</f>
        <v>Jeanelle Joynes</v>
      </c>
    </row>
    <row r="986" spans="1:10" x14ac:dyDescent="0.35">
      <c r="A986" s="4">
        <v>41037</v>
      </c>
      <c r="B986" s="2">
        <v>11008</v>
      </c>
      <c r="C986" s="2">
        <v>231</v>
      </c>
      <c r="D986" s="2">
        <v>61</v>
      </c>
      <c r="E986" s="2">
        <v>23</v>
      </c>
      <c r="F986" s="2">
        <v>1</v>
      </c>
      <c r="G986" s="2">
        <v>2</v>
      </c>
      <c r="H986" s="2">
        <v>5</v>
      </c>
      <c r="I986" s="2">
        <v>25</v>
      </c>
      <c r="J986" t="str">
        <f>_xlfn.XLOOKUP(Table2[[#This Row],[Customer_ID]],Table1[Customer_ID],Table1[Customer_Name])</f>
        <v>Jeanelle Joynes</v>
      </c>
    </row>
    <row r="987" spans="1:10" x14ac:dyDescent="0.35">
      <c r="A987" s="4">
        <v>41038</v>
      </c>
      <c r="B987" s="2">
        <v>11012</v>
      </c>
      <c r="C987" s="2">
        <v>211</v>
      </c>
      <c r="D987" s="2">
        <v>65</v>
      </c>
      <c r="F987" s="2">
        <v>1</v>
      </c>
      <c r="G987" s="2">
        <v>2</v>
      </c>
      <c r="H987" s="2">
        <v>4</v>
      </c>
      <c r="I987" s="2">
        <v>25</v>
      </c>
      <c r="J987" t="str">
        <f>_xlfn.XLOOKUP(Table2[[#This Row],[Customer_ID]],Table1[Customer_ID],Table1[Customer_Name])</f>
        <v>Judie Sawicki</v>
      </c>
    </row>
    <row r="988" spans="1:10" x14ac:dyDescent="0.35">
      <c r="A988" s="4">
        <v>41038</v>
      </c>
      <c r="B988" s="2">
        <v>11010</v>
      </c>
      <c r="C988" s="2">
        <v>190</v>
      </c>
      <c r="D988" s="2">
        <v>63</v>
      </c>
      <c r="E988" s="2">
        <v>34</v>
      </c>
      <c r="F988" s="2">
        <v>1</v>
      </c>
      <c r="G988" s="2">
        <v>6</v>
      </c>
      <c r="H988" s="2">
        <v>4</v>
      </c>
      <c r="I988" s="2">
        <v>25</v>
      </c>
      <c r="J988" t="str">
        <f>_xlfn.XLOOKUP(Table2[[#This Row],[Customer_ID]],Table1[Customer_ID],Table1[Customer_Name])</f>
        <v>Johnathon Tucker</v>
      </c>
    </row>
    <row r="989" spans="1:10" x14ac:dyDescent="0.35">
      <c r="A989" s="4">
        <v>41038</v>
      </c>
      <c r="B989" s="2">
        <v>11012</v>
      </c>
      <c r="C989" s="2">
        <v>362</v>
      </c>
      <c r="D989" s="2">
        <v>65</v>
      </c>
      <c r="F989" s="2">
        <v>1</v>
      </c>
      <c r="G989" s="2">
        <v>4</v>
      </c>
      <c r="H989" s="2">
        <v>4</v>
      </c>
      <c r="I989" s="2">
        <v>25</v>
      </c>
      <c r="J989" t="str">
        <f>_xlfn.XLOOKUP(Table2[[#This Row],[Customer_ID]],Table1[Customer_ID],Table1[Customer_Name])</f>
        <v>Judie Sawicki</v>
      </c>
    </row>
    <row r="990" spans="1:10" x14ac:dyDescent="0.35">
      <c r="A990" s="4">
        <v>41038</v>
      </c>
      <c r="B990" s="2">
        <v>11010</v>
      </c>
      <c r="C990" s="2">
        <v>324</v>
      </c>
      <c r="D990" s="2">
        <v>63</v>
      </c>
      <c r="E990" s="2">
        <v>34</v>
      </c>
      <c r="F990" s="2">
        <v>1</v>
      </c>
      <c r="G990" s="2">
        <v>9</v>
      </c>
      <c r="H990" s="2">
        <v>8</v>
      </c>
      <c r="I990" s="2">
        <v>25</v>
      </c>
      <c r="J990" t="str">
        <f>_xlfn.XLOOKUP(Table2[[#This Row],[Customer_ID]],Table1[Customer_ID],Table1[Customer_Name])</f>
        <v>Johnathon Tucker</v>
      </c>
    </row>
    <row r="991" spans="1:10" x14ac:dyDescent="0.35">
      <c r="A991" s="4">
        <v>41038</v>
      </c>
      <c r="B991" s="2">
        <v>11012</v>
      </c>
      <c r="C991" s="2">
        <v>328</v>
      </c>
      <c r="D991" s="2">
        <v>65</v>
      </c>
      <c r="F991" s="2">
        <v>1</v>
      </c>
      <c r="G991" s="2">
        <v>7</v>
      </c>
      <c r="H991" s="2">
        <v>46</v>
      </c>
      <c r="I991" s="2">
        <v>25</v>
      </c>
      <c r="J991" t="str">
        <f>_xlfn.XLOOKUP(Table2[[#This Row],[Customer_ID]],Table1[Customer_ID],Table1[Customer_Name])</f>
        <v>Judie Sawicki</v>
      </c>
    </row>
    <row r="992" spans="1:10" x14ac:dyDescent="0.35">
      <c r="A992" s="4">
        <v>41039</v>
      </c>
      <c r="B992" s="2">
        <v>11014</v>
      </c>
      <c r="C992" s="2">
        <v>343</v>
      </c>
      <c r="D992" s="2">
        <v>67</v>
      </c>
      <c r="F992" s="2">
        <v>1</v>
      </c>
      <c r="G992" s="2">
        <v>4</v>
      </c>
      <c r="H992" s="2">
        <v>4</v>
      </c>
      <c r="I992" s="2">
        <v>25</v>
      </c>
      <c r="J992" t="str">
        <f>_xlfn.XLOOKUP(Table2[[#This Row],[Customer_ID]],Table1[Customer_ID],Table1[Customer_Name])</f>
        <v>Kaitlyn Killian</v>
      </c>
    </row>
    <row r="993" spans="1:10" x14ac:dyDescent="0.35">
      <c r="A993" s="4">
        <v>41039</v>
      </c>
      <c r="B993" s="2">
        <v>11016</v>
      </c>
      <c r="C993" s="2">
        <v>108</v>
      </c>
      <c r="D993" s="2">
        <v>69</v>
      </c>
      <c r="F993" s="2">
        <v>1</v>
      </c>
      <c r="G993" s="2">
        <v>3</v>
      </c>
      <c r="H993" s="2">
        <v>483</v>
      </c>
      <c r="I993" s="2">
        <v>25</v>
      </c>
      <c r="J993" t="str">
        <f>_xlfn.XLOOKUP(Table2[[#This Row],[Customer_ID]],Table1[Customer_ID],Table1[Customer_Name])</f>
        <v>Kareem Koser</v>
      </c>
    </row>
    <row r="994" spans="1:10" x14ac:dyDescent="0.35">
      <c r="A994" s="4">
        <v>41039</v>
      </c>
      <c r="B994" s="2">
        <v>11016</v>
      </c>
      <c r="C994" s="2">
        <v>109</v>
      </c>
      <c r="D994" s="2">
        <v>69</v>
      </c>
      <c r="F994" s="2">
        <v>1</v>
      </c>
      <c r="G994" s="2">
        <v>4</v>
      </c>
      <c r="H994" s="2">
        <v>377</v>
      </c>
      <c r="I994" s="2">
        <v>25</v>
      </c>
      <c r="J994" t="str">
        <f>_xlfn.XLOOKUP(Table2[[#This Row],[Customer_ID]],Table1[Customer_ID],Table1[Customer_Name])</f>
        <v>Kareem Koser</v>
      </c>
    </row>
    <row r="995" spans="1:10" x14ac:dyDescent="0.35">
      <c r="A995" s="4">
        <v>41042</v>
      </c>
      <c r="B995" s="2">
        <v>11018</v>
      </c>
      <c r="C995" s="2">
        <v>110</v>
      </c>
      <c r="D995" s="2">
        <v>71</v>
      </c>
      <c r="F995" s="2">
        <v>1</v>
      </c>
      <c r="G995" s="2">
        <v>1</v>
      </c>
      <c r="H995" s="2">
        <v>1101</v>
      </c>
      <c r="I995" s="2">
        <v>25</v>
      </c>
      <c r="J995" t="str">
        <f>_xlfn.XLOOKUP(Table2[[#This Row],[Customer_ID]],Table1[Customer_ID],Table1[Customer_Name])</f>
        <v>Karissa Kircher</v>
      </c>
    </row>
    <row r="996" spans="1:10" x14ac:dyDescent="0.35">
      <c r="A996" s="4">
        <v>41042</v>
      </c>
      <c r="B996" s="2">
        <v>11018</v>
      </c>
      <c r="C996" s="2">
        <v>107</v>
      </c>
      <c r="D996" s="2">
        <v>71</v>
      </c>
      <c r="F996" s="2">
        <v>1</v>
      </c>
      <c r="G996" s="2">
        <v>8</v>
      </c>
      <c r="H996" s="2">
        <v>628</v>
      </c>
      <c r="I996" s="2">
        <v>25</v>
      </c>
      <c r="J996" t="str">
        <f>_xlfn.XLOOKUP(Table2[[#This Row],[Customer_ID]],Table1[Customer_ID],Table1[Customer_Name])</f>
        <v>Karissa Kircher</v>
      </c>
    </row>
    <row r="997" spans="1:10" x14ac:dyDescent="0.35">
      <c r="A997" s="4">
        <v>41042</v>
      </c>
      <c r="B997" s="2">
        <v>11018</v>
      </c>
      <c r="C997" s="2">
        <v>103</v>
      </c>
      <c r="D997" s="2">
        <v>71</v>
      </c>
      <c r="F997" s="2">
        <v>1</v>
      </c>
      <c r="G997" s="2">
        <v>8</v>
      </c>
      <c r="H997" s="2">
        <v>560</v>
      </c>
      <c r="I997" s="2">
        <v>25</v>
      </c>
      <c r="J997" t="str">
        <f>_xlfn.XLOOKUP(Table2[[#This Row],[Customer_ID]],Table1[Customer_ID],Table1[Customer_Name])</f>
        <v>Karissa Kircher</v>
      </c>
    </row>
    <row r="998" spans="1:10" x14ac:dyDescent="0.35">
      <c r="A998" s="4">
        <v>41043</v>
      </c>
      <c r="B998" s="2">
        <v>11020</v>
      </c>
      <c r="C998" s="2">
        <v>21</v>
      </c>
      <c r="D998" s="2">
        <v>73</v>
      </c>
      <c r="F998" s="2">
        <v>1</v>
      </c>
      <c r="G998" s="2">
        <v>2</v>
      </c>
      <c r="H998" s="2">
        <v>634</v>
      </c>
      <c r="I998" s="2">
        <v>25</v>
      </c>
      <c r="J998" t="str">
        <f>_xlfn.XLOOKUP(Table2[[#This Row],[Customer_ID]],Table1[Customer_ID],Table1[Customer_Name])</f>
        <v>Katharine Pearcy</v>
      </c>
    </row>
    <row r="999" spans="1:10" x14ac:dyDescent="0.35">
      <c r="A999" s="4">
        <v>41043</v>
      </c>
      <c r="B999" s="2">
        <v>11022</v>
      </c>
      <c r="C999" s="2">
        <v>23</v>
      </c>
      <c r="D999" s="2">
        <v>75</v>
      </c>
      <c r="F999" s="2">
        <v>1</v>
      </c>
      <c r="G999" s="2">
        <v>1</v>
      </c>
      <c r="H999" s="2">
        <v>484</v>
      </c>
      <c r="I999" s="2">
        <v>25</v>
      </c>
      <c r="J999" t="str">
        <f>_xlfn.XLOOKUP(Table2[[#This Row],[Customer_ID]],Table1[Customer_ID],Table1[Customer_Name])</f>
        <v>Keisha Koh</v>
      </c>
    </row>
    <row r="1000" spans="1:10" x14ac:dyDescent="0.35">
      <c r="A1000" s="4">
        <v>41043</v>
      </c>
      <c r="B1000" s="2">
        <v>11022</v>
      </c>
      <c r="C1000" s="2">
        <v>63</v>
      </c>
      <c r="D1000" s="2">
        <v>75</v>
      </c>
      <c r="F1000" s="2">
        <v>1</v>
      </c>
      <c r="G1000" s="2">
        <v>5</v>
      </c>
      <c r="H1000" s="2">
        <v>3</v>
      </c>
      <c r="I1000" s="2">
        <v>25</v>
      </c>
      <c r="J1000" t="str">
        <f>_xlfn.XLOOKUP(Table2[[#This Row],[Customer_ID]],Table1[Customer_ID],Table1[Customer_Name])</f>
        <v>Keisha Koh</v>
      </c>
    </row>
    <row r="1001" spans="1:10" x14ac:dyDescent="0.35">
      <c r="A1001" s="4">
        <v>41044</v>
      </c>
      <c r="B1001" s="2">
        <v>11024</v>
      </c>
      <c r="C1001" s="2">
        <v>410</v>
      </c>
      <c r="D1001" s="2">
        <v>77</v>
      </c>
      <c r="F1001" s="2">
        <v>1</v>
      </c>
      <c r="G1001" s="2">
        <v>5</v>
      </c>
      <c r="H1001" s="2">
        <v>16</v>
      </c>
      <c r="I1001" s="2">
        <v>25</v>
      </c>
      <c r="J1001" t="str">
        <f>_xlfn.XLOOKUP(Table2[[#This Row],[Customer_ID]],Table1[Customer_ID],Table1[Customer_Name])</f>
        <v>Kyla Danek</v>
      </c>
    </row>
    <row r="1002" spans="1:10" x14ac:dyDescent="0.35">
      <c r="A1002" s="4">
        <v>41044</v>
      </c>
      <c r="B1002" s="2">
        <v>11024</v>
      </c>
      <c r="C1002" s="2">
        <v>229</v>
      </c>
      <c r="D1002" s="2">
        <v>77</v>
      </c>
      <c r="F1002" s="2">
        <v>1</v>
      </c>
      <c r="G1002" s="2">
        <v>3</v>
      </c>
      <c r="H1002" s="2">
        <v>4</v>
      </c>
      <c r="I1002" s="2">
        <v>25</v>
      </c>
      <c r="J1002" t="str">
        <f>_xlfn.XLOOKUP(Table2[[#This Row],[Customer_ID]],Table1[Customer_ID],Table1[Customer_Name])</f>
        <v>Kyla Danek</v>
      </c>
    </row>
    <row r="1003" spans="1:10" x14ac:dyDescent="0.35">
      <c r="A1003" s="4">
        <v>41044</v>
      </c>
      <c r="B1003" s="2">
        <v>11026</v>
      </c>
      <c r="C1003" s="2">
        <v>233</v>
      </c>
      <c r="D1003" s="2">
        <v>79</v>
      </c>
      <c r="F1003" s="2">
        <v>1</v>
      </c>
      <c r="G1003" s="2">
        <v>4</v>
      </c>
      <c r="H1003" s="2">
        <v>3</v>
      </c>
      <c r="I1003" s="2">
        <v>25</v>
      </c>
      <c r="J1003" t="str">
        <f>_xlfn.XLOOKUP(Table2[[#This Row],[Customer_ID]],Table1[Customer_ID],Table1[Customer_Name])</f>
        <v>Lala Ladue</v>
      </c>
    </row>
    <row r="1004" spans="1:10" x14ac:dyDescent="0.35">
      <c r="A1004" s="4">
        <v>41044</v>
      </c>
      <c r="B1004" s="2">
        <v>11024</v>
      </c>
      <c r="C1004" s="2">
        <v>260</v>
      </c>
      <c r="D1004" s="2">
        <v>77</v>
      </c>
      <c r="F1004" s="2">
        <v>1</v>
      </c>
      <c r="G1004" s="2">
        <v>5</v>
      </c>
      <c r="H1004" s="2">
        <v>15</v>
      </c>
      <c r="I1004" s="2">
        <v>25</v>
      </c>
      <c r="J1004" t="str">
        <f>_xlfn.XLOOKUP(Table2[[#This Row],[Customer_ID]],Table1[Customer_ID],Table1[Customer_Name])</f>
        <v>Kyla Danek</v>
      </c>
    </row>
    <row r="1005" spans="1:10" x14ac:dyDescent="0.35">
      <c r="A1005" s="4">
        <v>41044</v>
      </c>
      <c r="B1005" s="2">
        <v>11026</v>
      </c>
      <c r="C1005" s="2">
        <v>255</v>
      </c>
      <c r="D1005" s="2">
        <v>79</v>
      </c>
      <c r="F1005" s="2">
        <v>1</v>
      </c>
      <c r="G1005" s="2">
        <v>3</v>
      </c>
      <c r="H1005" s="2">
        <v>2</v>
      </c>
      <c r="I1005" s="2">
        <v>25</v>
      </c>
      <c r="J1005" t="str">
        <f>_xlfn.XLOOKUP(Table2[[#This Row],[Customer_ID]],Table1[Customer_ID],Table1[Customer_Name])</f>
        <v>Lala Ladue</v>
      </c>
    </row>
    <row r="1006" spans="1:10" x14ac:dyDescent="0.35">
      <c r="A1006" s="4">
        <v>41044</v>
      </c>
      <c r="B1006" s="2">
        <v>11024</v>
      </c>
      <c r="C1006" s="2">
        <v>405</v>
      </c>
      <c r="D1006" s="2">
        <v>77</v>
      </c>
      <c r="F1006" s="2">
        <v>1</v>
      </c>
      <c r="G1006" s="2">
        <v>5</v>
      </c>
      <c r="H1006" s="2">
        <v>13</v>
      </c>
      <c r="I1006" s="2">
        <v>25</v>
      </c>
      <c r="J1006" t="str">
        <f>_xlfn.XLOOKUP(Table2[[#This Row],[Customer_ID]],Table1[Customer_ID],Table1[Customer_Name])</f>
        <v>Kyla Danek</v>
      </c>
    </row>
    <row r="1007" spans="1:10" x14ac:dyDescent="0.35">
      <c r="A1007" s="4">
        <v>41045</v>
      </c>
      <c r="B1007" s="2">
        <v>11028</v>
      </c>
      <c r="C1007" s="2">
        <v>303</v>
      </c>
      <c r="D1007" s="2">
        <v>81</v>
      </c>
      <c r="F1007" s="2">
        <v>1</v>
      </c>
      <c r="G1007" s="2">
        <v>3</v>
      </c>
      <c r="H1007" s="2">
        <v>3</v>
      </c>
      <c r="I1007" s="2">
        <v>25</v>
      </c>
      <c r="J1007" t="str">
        <f>_xlfn.XLOOKUP(Table2[[#This Row],[Customer_ID]],Table1[Customer_ID],Table1[Customer_Name])</f>
        <v>Leanne Lockhart</v>
      </c>
    </row>
    <row r="1008" spans="1:10" x14ac:dyDescent="0.35">
      <c r="A1008" s="4">
        <v>41045</v>
      </c>
      <c r="B1008" s="2">
        <v>11028</v>
      </c>
      <c r="C1008" s="2">
        <v>304</v>
      </c>
      <c r="D1008" s="2">
        <v>81</v>
      </c>
      <c r="F1008" s="2">
        <v>1</v>
      </c>
      <c r="G1008" s="2">
        <v>3</v>
      </c>
      <c r="H1008" s="2">
        <v>3</v>
      </c>
      <c r="I1008" s="2">
        <v>25</v>
      </c>
      <c r="J1008" t="str">
        <f>_xlfn.XLOOKUP(Table2[[#This Row],[Customer_ID]],Table1[Customer_ID],Table1[Customer_Name])</f>
        <v>Leanne Lockhart</v>
      </c>
    </row>
    <row r="1009" spans="1:10" x14ac:dyDescent="0.35">
      <c r="A1009" s="4">
        <v>41046</v>
      </c>
      <c r="B1009" s="2">
        <v>11030</v>
      </c>
      <c r="C1009" s="2">
        <v>228</v>
      </c>
      <c r="D1009" s="2">
        <v>83</v>
      </c>
      <c r="F1009" s="2">
        <v>1</v>
      </c>
      <c r="G1009" s="2">
        <v>5</v>
      </c>
      <c r="H1009" s="2">
        <v>3</v>
      </c>
      <c r="I1009" s="2">
        <v>25</v>
      </c>
      <c r="J1009" t="str">
        <f>_xlfn.XLOOKUP(Table2[[#This Row],[Customer_ID]],Table1[Customer_ID],Table1[Customer_Name])</f>
        <v>Lily Weatherford</v>
      </c>
    </row>
    <row r="1010" spans="1:10" x14ac:dyDescent="0.35">
      <c r="A1010" s="4">
        <v>41046</v>
      </c>
      <c r="B1010" s="2">
        <v>11030</v>
      </c>
      <c r="C1010" s="2">
        <v>338</v>
      </c>
      <c r="D1010" s="2">
        <v>83</v>
      </c>
      <c r="F1010" s="2">
        <v>1</v>
      </c>
      <c r="G1010" s="2">
        <v>3</v>
      </c>
      <c r="H1010" s="2">
        <v>4</v>
      </c>
      <c r="I1010" s="2">
        <v>25</v>
      </c>
      <c r="J1010" t="str">
        <f>_xlfn.XLOOKUP(Table2[[#This Row],[Customer_ID]],Table1[Customer_ID],Table1[Customer_Name])</f>
        <v>Lily Weatherford</v>
      </c>
    </row>
    <row r="1011" spans="1:10" x14ac:dyDescent="0.35">
      <c r="A1011" s="4">
        <v>41046</v>
      </c>
      <c r="B1011" s="2">
        <v>11032</v>
      </c>
      <c r="C1011" s="2">
        <v>127</v>
      </c>
      <c r="D1011" s="2">
        <v>85</v>
      </c>
      <c r="F1011" s="2">
        <v>1</v>
      </c>
      <c r="G1011" s="2">
        <v>2</v>
      </c>
      <c r="H1011" s="2">
        <v>695</v>
      </c>
      <c r="I1011" s="2">
        <v>25</v>
      </c>
      <c r="J1011" t="str">
        <f>_xlfn.XLOOKUP(Table2[[#This Row],[Customer_ID]],Table1[Customer_ID],Table1[Customer_Name])</f>
        <v>Lissette Layton</v>
      </c>
    </row>
    <row r="1012" spans="1:10" x14ac:dyDescent="0.35">
      <c r="A1012" s="4">
        <v>41046</v>
      </c>
      <c r="B1012" s="2">
        <v>11030</v>
      </c>
      <c r="C1012" s="2">
        <v>335</v>
      </c>
      <c r="D1012" s="2">
        <v>83</v>
      </c>
      <c r="F1012" s="2">
        <v>1</v>
      </c>
      <c r="G1012" s="2">
        <v>1</v>
      </c>
      <c r="H1012" s="2">
        <v>4</v>
      </c>
      <c r="I1012" s="2">
        <v>25</v>
      </c>
      <c r="J1012" t="str">
        <f>_xlfn.XLOOKUP(Table2[[#This Row],[Customer_ID]],Table1[Customer_ID],Table1[Customer_Name])</f>
        <v>Lily Weatherford</v>
      </c>
    </row>
    <row r="1013" spans="1:10" x14ac:dyDescent="0.35">
      <c r="A1013" s="4">
        <v>41046</v>
      </c>
      <c r="B1013" s="2">
        <v>11032</v>
      </c>
      <c r="C1013" s="2">
        <v>126</v>
      </c>
      <c r="D1013" s="2">
        <v>85</v>
      </c>
      <c r="F1013" s="2">
        <v>1</v>
      </c>
      <c r="G1013" s="2">
        <v>3</v>
      </c>
      <c r="H1013" s="2">
        <v>450</v>
      </c>
      <c r="I1013" s="2">
        <v>25</v>
      </c>
      <c r="J1013" t="str">
        <f>_xlfn.XLOOKUP(Table2[[#This Row],[Customer_ID]],Table1[Customer_ID],Table1[Customer_Name])</f>
        <v>Lissette Layton</v>
      </c>
    </row>
    <row r="1014" spans="1:10" x14ac:dyDescent="0.35">
      <c r="A1014" s="4">
        <v>41046</v>
      </c>
      <c r="B1014" s="2">
        <v>11032</v>
      </c>
      <c r="C1014" s="2">
        <v>128</v>
      </c>
      <c r="D1014" s="2">
        <v>85</v>
      </c>
      <c r="F1014" s="2">
        <v>1</v>
      </c>
      <c r="G1014" s="2">
        <v>3</v>
      </c>
      <c r="H1014" s="2">
        <v>644</v>
      </c>
      <c r="I1014" s="2">
        <v>25</v>
      </c>
      <c r="J1014" t="str">
        <f>_xlfn.XLOOKUP(Table2[[#This Row],[Customer_ID]],Table1[Customer_ID],Table1[Customer_Name])</f>
        <v>Lissette Layton</v>
      </c>
    </row>
    <row r="1015" spans="1:10" x14ac:dyDescent="0.35">
      <c r="A1015" s="4">
        <v>41046</v>
      </c>
      <c r="B1015" s="2">
        <v>11030</v>
      </c>
      <c r="C1015" s="2">
        <v>334</v>
      </c>
      <c r="D1015" s="2">
        <v>83</v>
      </c>
      <c r="F1015" s="2">
        <v>1</v>
      </c>
      <c r="G1015" s="2">
        <v>2</v>
      </c>
      <c r="H1015" s="2">
        <v>4</v>
      </c>
      <c r="I1015" s="2">
        <v>25</v>
      </c>
      <c r="J1015" t="str">
        <f>_xlfn.XLOOKUP(Table2[[#This Row],[Customer_ID]],Table1[Customer_ID],Table1[Customer_Name])</f>
        <v>Lily Weatherford</v>
      </c>
    </row>
    <row r="1016" spans="1:10" x14ac:dyDescent="0.35">
      <c r="A1016" s="4">
        <v>41049</v>
      </c>
      <c r="B1016" s="2">
        <v>11034</v>
      </c>
      <c r="C1016" s="2">
        <v>132</v>
      </c>
      <c r="D1016" s="2">
        <v>87</v>
      </c>
      <c r="F1016" s="2">
        <v>1</v>
      </c>
      <c r="G1016" s="2">
        <v>2</v>
      </c>
      <c r="H1016" s="2">
        <v>1221</v>
      </c>
      <c r="I1016" s="2">
        <v>25</v>
      </c>
      <c r="J1016" t="str">
        <f>_xlfn.XLOOKUP(Table2[[#This Row],[Customer_ID]],Table1[Customer_ID],Table1[Customer_Name])</f>
        <v>Lynnette Loyola</v>
      </c>
    </row>
    <row r="1017" spans="1:10" x14ac:dyDescent="0.35">
      <c r="A1017" s="4">
        <v>41049</v>
      </c>
      <c r="B1017" s="2">
        <v>11036</v>
      </c>
      <c r="C1017" s="2">
        <v>230</v>
      </c>
      <c r="D1017" s="2">
        <v>89</v>
      </c>
      <c r="F1017" s="2">
        <v>1</v>
      </c>
      <c r="G1017" s="2">
        <v>5</v>
      </c>
      <c r="H1017" s="2">
        <v>6</v>
      </c>
      <c r="I1017" s="2">
        <v>25</v>
      </c>
      <c r="J1017" t="str">
        <f>_xlfn.XLOOKUP(Table2[[#This Row],[Customer_ID]],Table1[Customer_ID],Table1[Customer_Name])</f>
        <v>Masako Moler</v>
      </c>
    </row>
    <row r="1018" spans="1:10" x14ac:dyDescent="0.35">
      <c r="A1018" s="4">
        <v>41049</v>
      </c>
      <c r="B1018" s="2">
        <v>11036</v>
      </c>
      <c r="C1018" s="2">
        <v>284</v>
      </c>
      <c r="D1018" s="2">
        <v>89</v>
      </c>
      <c r="F1018" s="2">
        <v>1</v>
      </c>
      <c r="G1018" s="2">
        <v>2</v>
      </c>
      <c r="H1018" s="2">
        <v>9</v>
      </c>
      <c r="I1018" s="2">
        <v>25</v>
      </c>
      <c r="J1018" t="str">
        <f>_xlfn.XLOOKUP(Table2[[#This Row],[Customer_ID]],Table1[Customer_ID],Table1[Customer_Name])</f>
        <v>Masako Moler</v>
      </c>
    </row>
    <row r="1019" spans="1:10" x14ac:dyDescent="0.35">
      <c r="A1019" s="4">
        <v>41049</v>
      </c>
      <c r="B1019" s="2">
        <v>11034</v>
      </c>
      <c r="C1019" s="2">
        <v>199</v>
      </c>
      <c r="D1019" s="2">
        <v>87</v>
      </c>
      <c r="F1019" s="2">
        <v>1</v>
      </c>
      <c r="G1019" s="2">
        <v>4</v>
      </c>
      <c r="H1019" s="2">
        <v>3</v>
      </c>
      <c r="I1019" s="2">
        <v>25</v>
      </c>
      <c r="J1019" t="str">
        <f>_xlfn.XLOOKUP(Table2[[#This Row],[Customer_ID]],Table1[Customer_ID],Table1[Customer_Name])</f>
        <v>Lynnette Loyola</v>
      </c>
    </row>
    <row r="1020" spans="1:10" x14ac:dyDescent="0.35">
      <c r="A1020" s="4">
        <v>41049</v>
      </c>
      <c r="B1020" s="2">
        <v>11034</v>
      </c>
      <c r="C1020" s="2">
        <v>131</v>
      </c>
      <c r="D1020" s="2">
        <v>87</v>
      </c>
      <c r="F1020" s="2">
        <v>1</v>
      </c>
      <c r="G1020" s="2">
        <v>1</v>
      </c>
      <c r="H1020" s="2">
        <v>840</v>
      </c>
      <c r="I1020" s="2">
        <v>25</v>
      </c>
      <c r="J1020" t="str">
        <f>_xlfn.XLOOKUP(Table2[[#This Row],[Customer_ID]],Table1[Customer_ID],Table1[Customer_Name])</f>
        <v>Lynnette Loyola</v>
      </c>
    </row>
    <row r="1021" spans="1:10" x14ac:dyDescent="0.35">
      <c r="A1021" s="4">
        <v>41050</v>
      </c>
      <c r="B1021" s="2">
        <v>11038</v>
      </c>
      <c r="C1021" s="2">
        <v>375</v>
      </c>
      <c r="D1021" s="2">
        <v>91</v>
      </c>
      <c r="F1021" s="2">
        <v>1</v>
      </c>
      <c r="G1021" s="2">
        <v>7</v>
      </c>
      <c r="H1021" s="2">
        <v>5</v>
      </c>
      <c r="I1021" s="2">
        <v>25</v>
      </c>
      <c r="J1021" t="str">
        <f>_xlfn.XLOOKUP(Table2[[#This Row],[Customer_ID]],Table1[Customer_ID],Table1[Customer_Name])</f>
        <v>Maybelle Bolt</v>
      </c>
    </row>
    <row r="1022" spans="1:10" x14ac:dyDescent="0.35">
      <c r="A1022" s="4">
        <v>41050</v>
      </c>
      <c r="B1022" s="2">
        <v>11038</v>
      </c>
      <c r="C1022" s="2">
        <v>382</v>
      </c>
      <c r="D1022" s="2">
        <v>91</v>
      </c>
      <c r="F1022" s="2">
        <v>1</v>
      </c>
      <c r="G1022" s="2">
        <v>1</v>
      </c>
      <c r="H1022" s="2">
        <v>5</v>
      </c>
      <c r="I1022" s="2">
        <v>25</v>
      </c>
      <c r="J1022" t="str">
        <f>_xlfn.XLOOKUP(Table2[[#This Row],[Customer_ID]],Table1[Customer_ID],Table1[Customer_Name])</f>
        <v>Maybelle Bolt</v>
      </c>
    </row>
    <row r="1023" spans="1:10" x14ac:dyDescent="0.35">
      <c r="A1023" s="4">
        <v>41050</v>
      </c>
      <c r="B1023" s="2">
        <v>11038</v>
      </c>
      <c r="C1023" s="2">
        <v>383</v>
      </c>
      <c r="D1023" s="2">
        <v>91</v>
      </c>
      <c r="F1023" s="2">
        <v>1</v>
      </c>
      <c r="G1023" s="2">
        <v>3</v>
      </c>
      <c r="H1023" s="2">
        <v>9</v>
      </c>
      <c r="I1023" s="2">
        <v>25</v>
      </c>
      <c r="J1023" t="str">
        <f>_xlfn.XLOOKUP(Table2[[#This Row],[Customer_ID]],Table1[Customer_ID],Table1[Customer_Name])</f>
        <v>Maybelle Bolt</v>
      </c>
    </row>
    <row r="1024" spans="1:10" x14ac:dyDescent="0.35">
      <c r="A1024" s="4">
        <v>41051</v>
      </c>
      <c r="B1024" s="2">
        <v>11042</v>
      </c>
      <c r="C1024" s="2">
        <v>356</v>
      </c>
      <c r="D1024" s="2">
        <v>95</v>
      </c>
      <c r="F1024" s="2">
        <v>1</v>
      </c>
      <c r="G1024" s="2">
        <v>2</v>
      </c>
      <c r="H1024" s="2">
        <v>12</v>
      </c>
      <c r="I1024" s="2">
        <v>25</v>
      </c>
      <c r="J1024" t="str">
        <f>_xlfn.XLOOKUP(Table2[[#This Row],[Customer_ID]],Table1[Customer_ID],Table1[Customer_Name])</f>
        <v>Michelle Madonia</v>
      </c>
    </row>
    <row r="1025" spans="1:10" x14ac:dyDescent="0.35">
      <c r="A1025" s="4">
        <v>41051</v>
      </c>
      <c r="B1025" s="2">
        <v>11042</v>
      </c>
      <c r="C1025" s="2">
        <v>196</v>
      </c>
      <c r="D1025" s="2">
        <v>95</v>
      </c>
      <c r="F1025" s="2">
        <v>1</v>
      </c>
      <c r="G1025" s="2">
        <v>2</v>
      </c>
      <c r="H1025" s="2">
        <v>5</v>
      </c>
      <c r="I1025" s="2">
        <v>25</v>
      </c>
      <c r="J1025" t="str">
        <f>_xlfn.XLOOKUP(Table2[[#This Row],[Customer_ID]],Table1[Customer_ID],Table1[Customer_Name])</f>
        <v>Michelle Madonia</v>
      </c>
    </row>
    <row r="1026" spans="1:10" x14ac:dyDescent="0.35">
      <c r="A1026" s="4">
        <v>41051</v>
      </c>
      <c r="B1026" s="2">
        <v>11040</v>
      </c>
      <c r="C1026" s="2">
        <v>374</v>
      </c>
      <c r="D1026" s="2">
        <v>93</v>
      </c>
      <c r="F1026" s="2">
        <v>1</v>
      </c>
      <c r="G1026" s="2">
        <v>7</v>
      </c>
      <c r="H1026" s="2">
        <v>9</v>
      </c>
      <c r="I1026" s="2">
        <v>25</v>
      </c>
      <c r="J1026" t="str">
        <f>_xlfn.XLOOKUP(Table2[[#This Row],[Customer_ID]],Table1[Customer_ID],Table1[Customer_Name])</f>
        <v>Mervin Chiodo</v>
      </c>
    </row>
    <row r="1027" spans="1:10" x14ac:dyDescent="0.35">
      <c r="A1027" s="4">
        <v>41052</v>
      </c>
      <c r="B1027" s="2">
        <v>11046</v>
      </c>
      <c r="C1027" s="2">
        <v>193</v>
      </c>
      <c r="D1027" s="2">
        <v>99</v>
      </c>
      <c r="F1027" s="2">
        <v>1</v>
      </c>
      <c r="G1027" s="2">
        <v>5</v>
      </c>
      <c r="H1027" s="2">
        <v>5</v>
      </c>
      <c r="I1027" s="2">
        <v>25</v>
      </c>
      <c r="J1027" t="str">
        <f>_xlfn.XLOOKUP(Table2[[#This Row],[Customer_ID]],Table1[Customer_ID],Table1[Customer_Name])</f>
        <v>Nana Nolette</v>
      </c>
    </row>
    <row r="1028" spans="1:10" x14ac:dyDescent="0.35">
      <c r="A1028" s="4">
        <v>41052</v>
      </c>
      <c r="B1028" s="2">
        <v>11044</v>
      </c>
      <c r="C1028" s="2">
        <v>268</v>
      </c>
      <c r="D1028" s="2">
        <v>97</v>
      </c>
      <c r="F1028" s="2">
        <v>1</v>
      </c>
      <c r="G1028" s="2">
        <v>1</v>
      </c>
      <c r="H1028" s="2">
        <v>3</v>
      </c>
      <c r="I1028" s="2">
        <v>25</v>
      </c>
      <c r="J1028" t="str">
        <f>_xlfn.XLOOKUP(Table2[[#This Row],[Customer_ID]],Table1[Customer_ID],Table1[Customer_Name])</f>
        <v>Mitchell Doughtie</v>
      </c>
    </row>
    <row r="1029" spans="1:10" x14ac:dyDescent="0.35">
      <c r="A1029" s="4">
        <v>41052</v>
      </c>
      <c r="B1029" s="2">
        <v>11046</v>
      </c>
      <c r="C1029" s="2">
        <v>264</v>
      </c>
      <c r="D1029" s="2">
        <v>99</v>
      </c>
      <c r="F1029" s="2">
        <v>1</v>
      </c>
      <c r="G1029" s="2">
        <v>6</v>
      </c>
      <c r="H1029" s="2">
        <v>6</v>
      </c>
      <c r="I1029" s="2">
        <v>25</v>
      </c>
      <c r="J1029" t="str">
        <f>_xlfn.XLOOKUP(Table2[[#This Row],[Customer_ID]],Table1[Customer_ID],Table1[Customer_Name])</f>
        <v>Nana Nolette</v>
      </c>
    </row>
    <row r="1030" spans="1:10" x14ac:dyDescent="0.35">
      <c r="A1030" s="4">
        <v>41052</v>
      </c>
      <c r="B1030" s="2">
        <v>11046</v>
      </c>
      <c r="C1030" s="2">
        <v>270</v>
      </c>
      <c r="D1030" s="2">
        <v>99</v>
      </c>
      <c r="F1030" s="2">
        <v>1</v>
      </c>
      <c r="G1030" s="2">
        <v>3</v>
      </c>
      <c r="H1030" s="2">
        <v>3</v>
      </c>
      <c r="I1030" s="2">
        <v>25</v>
      </c>
      <c r="J1030" t="str">
        <f>_xlfn.XLOOKUP(Table2[[#This Row],[Customer_ID]],Table1[Customer_ID],Table1[Customer_Name])</f>
        <v>Nana Nolette</v>
      </c>
    </row>
    <row r="1031" spans="1:10" x14ac:dyDescent="0.35">
      <c r="A1031" s="4">
        <v>41053</v>
      </c>
      <c r="B1031" s="2">
        <v>11048</v>
      </c>
      <c r="C1031" s="2">
        <v>309</v>
      </c>
      <c r="D1031" s="2">
        <v>1</v>
      </c>
      <c r="E1031" s="2">
        <v>93</v>
      </c>
      <c r="F1031" s="2">
        <v>1</v>
      </c>
      <c r="G1031" s="2">
        <v>9</v>
      </c>
      <c r="H1031" s="2">
        <v>39</v>
      </c>
      <c r="I1031" s="2">
        <v>25</v>
      </c>
      <c r="J1031" t="str">
        <f>_xlfn.XLOOKUP(Table2[[#This Row],[Customer_ID]],Table1[Customer_ID],Table1[Customer_Name])</f>
        <v>Agatha Clauss</v>
      </c>
    </row>
    <row r="1032" spans="1:10" x14ac:dyDescent="0.35">
      <c r="A1032" s="4">
        <v>41056</v>
      </c>
      <c r="B1032" s="2">
        <v>11052</v>
      </c>
      <c r="C1032" s="2">
        <v>407</v>
      </c>
      <c r="D1032" s="2">
        <v>5</v>
      </c>
      <c r="E1032" s="2">
        <v>28</v>
      </c>
      <c r="F1032" s="2">
        <v>1</v>
      </c>
      <c r="G1032" s="2">
        <v>2</v>
      </c>
      <c r="H1032" s="2">
        <v>16</v>
      </c>
      <c r="I1032" s="2">
        <v>25</v>
      </c>
      <c r="J1032" t="str">
        <f>_xlfn.XLOOKUP(Table2[[#This Row],[Customer_ID]],Table1[Customer_ID],Table1[Customer_Name])</f>
        <v>Anette Abdulla</v>
      </c>
    </row>
    <row r="1033" spans="1:10" x14ac:dyDescent="0.35">
      <c r="A1033" s="4">
        <v>41056</v>
      </c>
      <c r="B1033" s="2">
        <v>11050</v>
      </c>
      <c r="C1033" s="2">
        <v>235</v>
      </c>
      <c r="D1033" s="2">
        <v>3</v>
      </c>
      <c r="E1033" s="2">
        <v>40</v>
      </c>
      <c r="F1033" s="2">
        <v>1</v>
      </c>
      <c r="G1033" s="2">
        <v>1</v>
      </c>
      <c r="H1033" s="2">
        <v>27</v>
      </c>
      <c r="I1033" s="2">
        <v>25</v>
      </c>
      <c r="J1033" t="str">
        <f>_xlfn.XLOOKUP(Table2[[#This Row],[Customer_ID]],Table1[Customer_ID],Table1[Customer_Name])</f>
        <v>Alonzo Stoltz</v>
      </c>
    </row>
    <row r="1034" spans="1:10" x14ac:dyDescent="0.35">
      <c r="A1034" s="4">
        <v>41056</v>
      </c>
      <c r="B1034" s="2">
        <v>11052</v>
      </c>
      <c r="C1034" s="2">
        <v>217</v>
      </c>
      <c r="D1034" s="2">
        <v>5</v>
      </c>
      <c r="E1034" s="2">
        <v>28</v>
      </c>
      <c r="F1034" s="2">
        <v>1</v>
      </c>
      <c r="G1034" s="2">
        <v>8</v>
      </c>
      <c r="H1034" s="2">
        <v>4</v>
      </c>
      <c r="I1034" s="2">
        <v>25</v>
      </c>
      <c r="J1034" t="str">
        <f>_xlfn.XLOOKUP(Table2[[#This Row],[Customer_ID]],Table1[Customer_ID],Table1[Customer_Name])</f>
        <v>Anette Abdulla</v>
      </c>
    </row>
    <row r="1035" spans="1:10" x14ac:dyDescent="0.35">
      <c r="A1035" s="4">
        <v>41057</v>
      </c>
      <c r="B1035" s="2">
        <v>11056</v>
      </c>
      <c r="C1035" s="2">
        <v>295</v>
      </c>
      <c r="D1035" s="2">
        <v>9</v>
      </c>
      <c r="E1035" s="2">
        <v>97</v>
      </c>
      <c r="F1035" s="2">
        <v>1</v>
      </c>
      <c r="G1035" s="2">
        <v>4</v>
      </c>
      <c r="H1035" s="2">
        <v>3</v>
      </c>
      <c r="I1035" s="2">
        <v>25</v>
      </c>
      <c r="J1035" t="str">
        <f>_xlfn.XLOOKUP(Table2[[#This Row],[Customer_ID]],Table1[Customer_ID],Table1[Customer_Name])</f>
        <v>Bernarda Caughey</v>
      </c>
    </row>
    <row r="1036" spans="1:10" x14ac:dyDescent="0.35">
      <c r="A1036" s="4">
        <v>41057</v>
      </c>
      <c r="B1036" s="2">
        <v>11056</v>
      </c>
      <c r="C1036" s="2">
        <v>275</v>
      </c>
      <c r="D1036" s="2">
        <v>9</v>
      </c>
      <c r="E1036" s="2">
        <v>97</v>
      </c>
      <c r="F1036" s="2">
        <v>1</v>
      </c>
      <c r="G1036" s="2">
        <v>1</v>
      </c>
      <c r="H1036" s="2">
        <v>3</v>
      </c>
      <c r="I1036" s="2">
        <v>25</v>
      </c>
      <c r="J1036" t="str">
        <f>_xlfn.XLOOKUP(Table2[[#This Row],[Customer_ID]],Table1[Customer_ID],Table1[Customer_Name])</f>
        <v>Bernarda Caughey</v>
      </c>
    </row>
    <row r="1037" spans="1:10" x14ac:dyDescent="0.35">
      <c r="A1037" s="4">
        <v>41057</v>
      </c>
      <c r="B1037" s="2">
        <v>11056</v>
      </c>
      <c r="C1037" s="2">
        <v>282</v>
      </c>
      <c r="D1037" s="2">
        <v>9</v>
      </c>
      <c r="E1037" s="2">
        <v>97</v>
      </c>
      <c r="F1037" s="2">
        <v>1</v>
      </c>
      <c r="G1037" s="2">
        <v>1</v>
      </c>
      <c r="H1037" s="2">
        <v>3</v>
      </c>
      <c r="I1037" s="2">
        <v>25</v>
      </c>
      <c r="J1037" t="str">
        <f>_xlfn.XLOOKUP(Table2[[#This Row],[Customer_ID]],Table1[Customer_ID],Table1[Customer_Name])</f>
        <v>Bernarda Caughey</v>
      </c>
    </row>
    <row r="1038" spans="1:10" x14ac:dyDescent="0.35">
      <c r="A1038" s="4">
        <v>41057</v>
      </c>
      <c r="B1038" s="2">
        <v>11054</v>
      </c>
      <c r="C1038" s="2">
        <v>237</v>
      </c>
      <c r="D1038" s="2">
        <v>7</v>
      </c>
      <c r="E1038" s="2">
        <v>32</v>
      </c>
      <c r="F1038" s="2">
        <v>1</v>
      </c>
      <c r="G1038" s="2">
        <v>2</v>
      </c>
      <c r="H1038" s="2">
        <v>18</v>
      </c>
      <c r="I1038" s="2">
        <v>25</v>
      </c>
      <c r="J1038" t="str">
        <f>_xlfn.XLOOKUP(Table2[[#This Row],[Customer_ID]],Table1[Customer_ID],Table1[Customer_Name])</f>
        <v>Ardath Peaslee</v>
      </c>
    </row>
    <row r="1039" spans="1:10" x14ac:dyDescent="0.35">
      <c r="A1039" s="4">
        <v>41057</v>
      </c>
      <c r="B1039" s="2">
        <v>11054</v>
      </c>
      <c r="C1039" s="2">
        <v>265</v>
      </c>
      <c r="D1039" s="2">
        <v>7</v>
      </c>
      <c r="E1039" s="2">
        <v>32</v>
      </c>
      <c r="F1039" s="2">
        <v>1</v>
      </c>
      <c r="G1039" s="2">
        <v>5</v>
      </c>
      <c r="H1039" s="2">
        <v>2</v>
      </c>
      <c r="I1039" s="2">
        <v>25</v>
      </c>
      <c r="J1039" t="str">
        <f>_xlfn.XLOOKUP(Table2[[#This Row],[Customer_ID]],Table1[Customer_ID],Table1[Customer_Name])</f>
        <v>Ardath Peaslee</v>
      </c>
    </row>
    <row r="1040" spans="1:10" x14ac:dyDescent="0.35">
      <c r="A1040" s="4">
        <v>41058</v>
      </c>
      <c r="B1040" s="2">
        <v>11058</v>
      </c>
      <c r="C1040" s="2">
        <v>134</v>
      </c>
      <c r="D1040" s="2">
        <v>11</v>
      </c>
      <c r="E1040" s="2">
        <v>79</v>
      </c>
      <c r="F1040" s="2">
        <v>1</v>
      </c>
      <c r="G1040" s="2">
        <v>1</v>
      </c>
      <c r="H1040" s="2">
        <v>90</v>
      </c>
      <c r="I1040" s="2">
        <v>25</v>
      </c>
      <c r="J1040" t="str">
        <f>_xlfn.XLOOKUP(Table2[[#This Row],[Customer_ID]],Table1[Customer_ID],Table1[Customer_Name])</f>
        <v>Bonita Honaker</v>
      </c>
    </row>
    <row r="1041" spans="1:10" x14ac:dyDescent="0.35">
      <c r="A1041" s="4">
        <v>41058</v>
      </c>
      <c r="B1041" s="2">
        <v>11058</v>
      </c>
      <c r="C1041" s="2">
        <v>203</v>
      </c>
      <c r="D1041" s="2">
        <v>11</v>
      </c>
      <c r="E1041" s="2">
        <v>79</v>
      </c>
      <c r="F1041" s="2">
        <v>1</v>
      </c>
      <c r="G1041" s="2">
        <v>1</v>
      </c>
      <c r="H1041" s="2">
        <v>5</v>
      </c>
      <c r="I1041" s="2">
        <v>25</v>
      </c>
      <c r="J1041" t="str">
        <f>_xlfn.XLOOKUP(Table2[[#This Row],[Customer_ID]],Table1[Customer_ID],Table1[Customer_Name])</f>
        <v>Bonita Honaker</v>
      </c>
    </row>
    <row r="1042" spans="1:10" x14ac:dyDescent="0.35">
      <c r="A1042" s="4">
        <v>41058</v>
      </c>
      <c r="B1042" s="2">
        <v>11058</v>
      </c>
      <c r="C1042" s="2">
        <v>136</v>
      </c>
      <c r="D1042" s="2">
        <v>11</v>
      </c>
      <c r="E1042" s="2">
        <v>79</v>
      </c>
      <c r="F1042" s="2">
        <v>1</v>
      </c>
      <c r="G1042" s="2">
        <v>2</v>
      </c>
      <c r="H1042" s="2">
        <v>90</v>
      </c>
      <c r="I1042" s="2">
        <v>25</v>
      </c>
      <c r="J1042" t="str">
        <f>_xlfn.XLOOKUP(Table2[[#This Row],[Customer_ID]],Table1[Customer_ID],Table1[Customer_Name])</f>
        <v>Bonita Honaker</v>
      </c>
    </row>
    <row r="1043" spans="1:10" x14ac:dyDescent="0.35">
      <c r="A1043" s="4">
        <v>41059</v>
      </c>
      <c r="B1043" s="2">
        <v>11060</v>
      </c>
      <c r="C1043" s="2">
        <v>149</v>
      </c>
      <c r="D1043" s="2">
        <v>13</v>
      </c>
      <c r="E1043" s="2">
        <v>30</v>
      </c>
      <c r="F1043" s="2">
        <v>1</v>
      </c>
      <c r="G1043" s="2">
        <v>3</v>
      </c>
      <c r="H1043" s="2">
        <v>717</v>
      </c>
      <c r="I1043" s="2">
        <v>25</v>
      </c>
      <c r="J1043" t="str">
        <f>_xlfn.XLOOKUP(Table2[[#This Row],[Customer_ID]],Table1[Customer_ID],Table1[Customer_Name])</f>
        <v>Bryant Ertel</v>
      </c>
    </row>
    <row r="1044" spans="1:10" x14ac:dyDescent="0.35">
      <c r="A1044" s="4">
        <v>41059</v>
      </c>
      <c r="B1044" s="2">
        <v>11062</v>
      </c>
      <c r="C1044" s="2">
        <v>158</v>
      </c>
      <c r="D1044" s="2">
        <v>15</v>
      </c>
      <c r="E1044" s="2">
        <v>11</v>
      </c>
      <c r="F1044" s="2">
        <v>1</v>
      </c>
      <c r="G1044" s="2">
        <v>1</v>
      </c>
      <c r="H1044" s="2">
        <v>2595</v>
      </c>
      <c r="I1044" s="2">
        <v>25</v>
      </c>
      <c r="J1044" t="str">
        <f>_xlfn.XLOOKUP(Table2[[#This Row],[Customer_ID]],Table1[Customer_ID],Table1[Customer_Name])</f>
        <v>Caryn Conry</v>
      </c>
    </row>
    <row r="1045" spans="1:10" x14ac:dyDescent="0.35">
      <c r="A1045" s="4">
        <v>41059</v>
      </c>
      <c r="B1045" s="2">
        <v>11062</v>
      </c>
      <c r="C1045" s="2">
        <v>154</v>
      </c>
      <c r="D1045" s="2">
        <v>15</v>
      </c>
      <c r="E1045" s="2">
        <v>11</v>
      </c>
      <c r="F1045" s="2">
        <v>1</v>
      </c>
      <c r="G1045" s="2">
        <v>7</v>
      </c>
      <c r="H1045" s="2">
        <v>1079</v>
      </c>
      <c r="I1045" s="2">
        <v>25</v>
      </c>
      <c r="J1045" t="str">
        <f>_xlfn.XLOOKUP(Table2[[#This Row],[Customer_ID]],Table1[Customer_ID],Table1[Customer_Name])</f>
        <v>Caryn Conry</v>
      </c>
    </row>
    <row r="1046" spans="1:10" x14ac:dyDescent="0.35">
      <c r="A1046" s="4">
        <v>41059</v>
      </c>
      <c r="B1046" s="2">
        <v>11060</v>
      </c>
      <c r="C1046" s="2">
        <v>150</v>
      </c>
      <c r="D1046" s="2">
        <v>13</v>
      </c>
      <c r="E1046" s="2">
        <v>30</v>
      </c>
      <c r="F1046" s="2">
        <v>1</v>
      </c>
      <c r="G1046" s="2">
        <v>5</v>
      </c>
      <c r="H1046" s="2">
        <v>534</v>
      </c>
      <c r="I1046" s="2">
        <v>25</v>
      </c>
      <c r="J1046" t="str">
        <f>_xlfn.XLOOKUP(Table2[[#This Row],[Customer_ID]],Table1[Customer_ID],Table1[Customer_Name])</f>
        <v>Bryant Ertel</v>
      </c>
    </row>
    <row r="1047" spans="1:10" x14ac:dyDescent="0.35">
      <c r="A1047" s="4">
        <v>41060</v>
      </c>
      <c r="B1047" s="2">
        <v>11064</v>
      </c>
      <c r="C1047" s="2">
        <v>53</v>
      </c>
      <c r="D1047" s="2">
        <v>17</v>
      </c>
      <c r="E1047" s="2">
        <v>22</v>
      </c>
      <c r="F1047" s="2">
        <v>1</v>
      </c>
      <c r="G1047" s="2">
        <v>3</v>
      </c>
      <c r="H1047" s="2">
        <v>19</v>
      </c>
      <c r="I1047" s="2">
        <v>25</v>
      </c>
      <c r="J1047" t="str">
        <f>_xlfn.XLOOKUP(Table2[[#This Row],[Customer_ID]],Table1[Customer_ID],Table1[Customer_Name])</f>
        <v>Cecelia Beeler</v>
      </c>
    </row>
    <row r="1048" spans="1:10" x14ac:dyDescent="0.35">
      <c r="A1048" s="4">
        <v>41060</v>
      </c>
      <c r="B1048" s="2">
        <v>11064</v>
      </c>
      <c r="C1048" s="2">
        <v>433</v>
      </c>
      <c r="D1048" s="2">
        <v>17</v>
      </c>
      <c r="E1048" s="2">
        <v>22</v>
      </c>
      <c r="F1048" s="2">
        <v>1</v>
      </c>
      <c r="G1048" s="2">
        <v>8</v>
      </c>
      <c r="H1048" s="2">
        <v>14</v>
      </c>
      <c r="I1048" s="2">
        <v>25</v>
      </c>
      <c r="J1048" t="str">
        <f>_xlfn.XLOOKUP(Table2[[#This Row],[Customer_ID]],Table1[Customer_ID],Table1[Customer_Name])</f>
        <v>Cecelia Beeler</v>
      </c>
    </row>
    <row r="1049" spans="1:10" x14ac:dyDescent="0.35">
      <c r="A1049" s="4">
        <v>41060</v>
      </c>
      <c r="B1049" s="2">
        <v>11064</v>
      </c>
      <c r="C1049" s="2">
        <v>57</v>
      </c>
      <c r="D1049" s="2">
        <v>17</v>
      </c>
      <c r="E1049" s="2">
        <v>22</v>
      </c>
      <c r="F1049" s="2">
        <v>1</v>
      </c>
      <c r="G1049" s="2">
        <v>2</v>
      </c>
      <c r="H1049" s="2">
        <v>4</v>
      </c>
      <c r="I1049" s="2">
        <v>25</v>
      </c>
      <c r="J1049" t="str">
        <f>_xlfn.XLOOKUP(Table2[[#This Row],[Customer_ID]],Table1[Customer_ID],Table1[Customer_Name])</f>
        <v>Cecelia Beeler</v>
      </c>
    </row>
    <row r="1050" spans="1:10" x14ac:dyDescent="0.35">
      <c r="A1050" s="4">
        <v>41060</v>
      </c>
      <c r="B1050" s="2">
        <v>11064</v>
      </c>
      <c r="C1050" s="2">
        <v>34</v>
      </c>
      <c r="D1050" s="2">
        <v>17</v>
      </c>
      <c r="E1050" s="2">
        <v>22</v>
      </c>
      <c r="F1050" s="2">
        <v>1</v>
      </c>
      <c r="G1050" s="2">
        <v>3</v>
      </c>
      <c r="H1050" s="2">
        <v>9</v>
      </c>
      <c r="I1050" s="2">
        <v>25</v>
      </c>
      <c r="J1050" t="str">
        <f>_xlfn.XLOOKUP(Table2[[#This Row],[Customer_ID]],Table1[Customer_ID],Table1[Customer_Name])</f>
        <v>Cecelia Beeler</v>
      </c>
    </row>
    <row r="1051" spans="1:10" x14ac:dyDescent="0.35">
      <c r="A1051" s="4">
        <v>41060</v>
      </c>
      <c r="B1051" s="2">
        <v>11066</v>
      </c>
      <c r="C1051" s="2">
        <v>13</v>
      </c>
      <c r="D1051" s="2">
        <v>19</v>
      </c>
      <c r="E1051" s="2">
        <v>57</v>
      </c>
      <c r="F1051" s="2">
        <v>1</v>
      </c>
      <c r="G1051" s="2">
        <v>1</v>
      </c>
      <c r="H1051" s="2">
        <v>446</v>
      </c>
      <c r="I1051" s="2">
        <v>25</v>
      </c>
      <c r="J1051" t="str">
        <f>_xlfn.XLOOKUP(Table2[[#This Row],[Customer_ID]],Table1[Customer_ID],Table1[Customer_Name])</f>
        <v>Charlyn Sanroman</v>
      </c>
    </row>
    <row r="1052" spans="1:10" x14ac:dyDescent="0.35">
      <c r="A1052" s="4">
        <v>41060</v>
      </c>
      <c r="B1052" s="2">
        <v>11066</v>
      </c>
      <c r="C1052" s="2">
        <v>14</v>
      </c>
      <c r="D1052" s="2">
        <v>19</v>
      </c>
      <c r="E1052" s="2">
        <v>57</v>
      </c>
      <c r="F1052" s="2">
        <v>1</v>
      </c>
      <c r="G1052" s="2">
        <v>6</v>
      </c>
      <c r="H1052" s="2">
        <v>482</v>
      </c>
      <c r="I1052" s="2">
        <v>25</v>
      </c>
      <c r="J1052" t="str">
        <f>_xlfn.XLOOKUP(Table2[[#This Row],[Customer_ID]],Table1[Customer_ID],Table1[Customer_Name])</f>
        <v>Charlyn Sanroman</v>
      </c>
    </row>
    <row r="1053" spans="1:10" x14ac:dyDescent="0.35">
      <c r="A1053" s="4">
        <v>41060</v>
      </c>
      <c r="B1053" s="2">
        <v>11064</v>
      </c>
      <c r="C1053" s="2">
        <v>19</v>
      </c>
      <c r="D1053" s="2">
        <v>17</v>
      </c>
      <c r="E1053" s="2">
        <v>22</v>
      </c>
      <c r="F1053" s="2">
        <v>1</v>
      </c>
      <c r="G1053" s="2">
        <v>2</v>
      </c>
      <c r="H1053" s="2">
        <v>129</v>
      </c>
      <c r="I1053" s="2">
        <v>25</v>
      </c>
      <c r="J1053" t="str">
        <f>_xlfn.XLOOKUP(Table2[[#This Row],[Customer_ID]],Table1[Customer_ID],Table1[Customer_Name])</f>
        <v>Cecelia Beeler</v>
      </c>
    </row>
    <row r="1054" spans="1:10" x14ac:dyDescent="0.35">
      <c r="A1054" s="4">
        <v>41060</v>
      </c>
      <c r="B1054" s="2">
        <v>11066</v>
      </c>
      <c r="C1054" s="2">
        <v>32</v>
      </c>
      <c r="D1054" s="2">
        <v>19</v>
      </c>
      <c r="E1054" s="2">
        <v>57</v>
      </c>
      <c r="F1054" s="2">
        <v>1</v>
      </c>
      <c r="G1054" s="2">
        <v>4</v>
      </c>
      <c r="H1054" s="2">
        <v>5</v>
      </c>
      <c r="I1054" s="2">
        <v>25</v>
      </c>
      <c r="J1054" t="str">
        <f>_xlfn.XLOOKUP(Table2[[#This Row],[Customer_ID]],Table1[Customer_ID],Table1[Customer_Name])</f>
        <v>Charlyn Sanroman</v>
      </c>
    </row>
    <row r="1055" spans="1:10" x14ac:dyDescent="0.35">
      <c r="A1055" s="4">
        <v>41063</v>
      </c>
      <c r="B1055" s="2">
        <v>11068</v>
      </c>
      <c r="C1055" s="2">
        <v>17</v>
      </c>
      <c r="D1055" s="2">
        <v>21</v>
      </c>
      <c r="E1055" s="2">
        <v>61</v>
      </c>
      <c r="F1055" s="2">
        <v>1</v>
      </c>
      <c r="G1055" s="2">
        <v>3</v>
      </c>
      <c r="H1055" s="2">
        <v>294</v>
      </c>
      <c r="I1055" s="2">
        <v>25</v>
      </c>
      <c r="J1055" t="str">
        <f>_xlfn.XLOOKUP(Table2[[#This Row],[Customer_ID]],Table1[Customer_ID],Table1[Customer_Name])</f>
        <v>Clemencia Gwyn</v>
      </c>
    </row>
    <row r="1056" spans="1:10" x14ac:dyDescent="0.35">
      <c r="A1056" s="4">
        <v>41063</v>
      </c>
      <c r="B1056" s="2">
        <v>11068</v>
      </c>
      <c r="C1056" s="2">
        <v>36</v>
      </c>
      <c r="D1056" s="2">
        <v>21</v>
      </c>
      <c r="E1056" s="2">
        <v>61</v>
      </c>
      <c r="F1056" s="2">
        <v>1</v>
      </c>
      <c r="G1056" s="2">
        <v>5</v>
      </c>
      <c r="H1056" s="2">
        <v>10</v>
      </c>
      <c r="I1056" s="2">
        <v>25</v>
      </c>
      <c r="J1056" t="str">
        <f>_xlfn.XLOOKUP(Table2[[#This Row],[Customer_ID]],Table1[Customer_ID],Table1[Customer_Name])</f>
        <v>Clemencia Gwyn</v>
      </c>
    </row>
    <row r="1057" spans="1:10" x14ac:dyDescent="0.35">
      <c r="A1057" s="4">
        <v>41063</v>
      </c>
      <c r="B1057" s="2">
        <v>11068</v>
      </c>
      <c r="C1057" s="2">
        <v>48</v>
      </c>
      <c r="D1057" s="2">
        <v>21</v>
      </c>
      <c r="E1057" s="2">
        <v>61</v>
      </c>
      <c r="F1057" s="2">
        <v>1</v>
      </c>
      <c r="G1057" s="2">
        <v>7</v>
      </c>
      <c r="H1057" s="2">
        <v>3</v>
      </c>
      <c r="I1057" s="2">
        <v>25</v>
      </c>
      <c r="J1057" t="str">
        <f>_xlfn.XLOOKUP(Table2[[#This Row],[Customer_ID]],Table1[Customer_ID],Table1[Customer_Name])</f>
        <v>Clemencia Gwyn</v>
      </c>
    </row>
    <row r="1058" spans="1:10" x14ac:dyDescent="0.35">
      <c r="A1058" s="4">
        <v>41064</v>
      </c>
      <c r="B1058" s="2">
        <v>11072</v>
      </c>
      <c r="C1058" s="2">
        <v>167</v>
      </c>
      <c r="D1058" s="2">
        <v>25</v>
      </c>
      <c r="E1058" s="2">
        <v>73</v>
      </c>
      <c r="F1058" s="2">
        <v>1</v>
      </c>
      <c r="G1058" s="2">
        <v>1</v>
      </c>
      <c r="H1058" s="2">
        <v>278</v>
      </c>
      <c r="I1058" s="2">
        <v>25</v>
      </c>
      <c r="J1058" t="str">
        <f>_xlfn.XLOOKUP(Table2[[#This Row],[Customer_ID]],Table1[Customer_ID],Table1[Customer_Name])</f>
        <v>Cristy Claire</v>
      </c>
    </row>
    <row r="1059" spans="1:10" x14ac:dyDescent="0.35">
      <c r="A1059" s="4">
        <v>41064</v>
      </c>
      <c r="B1059" s="2">
        <v>11072</v>
      </c>
      <c r="C1059" s="2">
        <v>174</v>
      </c>
      <c r="D1059" s="2">
        <v>25</v>
      </c>
      <c r="E1059" s="2">
        <v>73</v>
      </c>
      <c r="F1059" s="2">
        <v>1</v>
      </c>
      <c r="G1059" s="2">
        <v>2</v>
      </c>
      <c r="H1059" s="2">
        <v>1486</v>
      </c>
      <c r="I1059" s="2">
        <v>25</v>
      </c>
      <c r="J1059" t="str">
        <f>_xlfn.XLOOKUP(Table2[[#This Row],[Customer_ID]],Table1[Customer_ID],Table1[Customer_Name])</f>
        <v>Cristy Claire</v>
      </c>
    </row>
    <row r="1060" spans="1:10" x14ac:dyDescent="0.35">
      <c r="A1060" s="4">
        <v>41064</v>
      </c>
      <c r="B1060" s="2">
        <v>11070</v>
      </c>
      <c r="C1060" s="2">
        <v>218</v>
      </c>
      <c r="D1060" s="2">
        <v>23</v>
      </c>
      <c r="E1060" s="2">
        <v>80</v>
      </c>
      <c r="F1060" s="2">
        <v>1</v>
      </c>
      <c r="G1060" s="2">
        <v>5</v>
      </c>
      <c r="H1060" s="2">
        <v>5</v>
      </c>
      <c r="I1060" s="2">
        <v>25</v>
      </c>
      <c r="J1060" t="str">
        <f>_xlfn.XLOOKUP(Table2[[#This Row],[Customer_ID]],Table1[Customer_ID],Table1[Customer_Name])</f>
        <v>Collette Romain</v>
      </c>
    </row>
    <row r="1061" spans="1:10" x14ac:dyDescent="0.35">
      <c r="A1061" s="4">
        <v>41064</v>
      </c>
      <c r="B1061" s="2">
        <v>11072</v>
      </c>
      <c r="C1061" s="2">
        <v>435</v>
      </c>
      <c r="D1061" s="2">
        <v>25</v>
      </c>
      <c r="E1061" s="2">
        <v>73</v>
      </c>
      <c r="F1061" s="2">
        <v>1</v>
      </c>
      <c r="G1061" s="2">
        <v>6</v>
      </c>
      <c r="H1061" s="2">
        <v>10</v>
      </c>
      <c r="I1061" s="2">
        <v>25</v>
      </c>
      <c r="J1061" t="str">
        <f>_xlfn.XLOOKUP(Table2[[#This Row],[Customer_ID]],Table1[Customer_ID],Table1[Customer_Name])</f>
        <v>Cristy Claire</v>
      </c>
    </row>
    <row r="1062" spans="1:10" x14ac:dyDescent="0.35">
      <c r="A1062" s="4">
        <v>41064</v>
      </c>
      <c r="B1062" s="2">
        <v>11070</v>
      </c>
      <c r="C1062" s="2">
        <v>145</v>
      </c>
      <c r="D1062" s="2">
        <v>23</v>
      </c>
      <c r="E1062" s="2">
        <v>80</v>
      </c>
      <c r="F1062" s="2">
        <v>1</v>
      </c>
      <c r="G1062" s="2">
        <v>5</v>
      </c>
      <c r="H1062" s="2">
        <v>66</v>
      </c>
      <c r="I1062" s="2">
        <v>25</v>
      </c>
      <c r="J1062" t="str">
        <f>_xlfn.XLOOKUP(Table2[[#This Row],[Customer_ID]],Table1[Customer_ID],Table1[Customer_Name])</f>
        <v>Collette Romain</v>
      </c>
    </row>
    <row r="1063" spans="1:10" x14ac:dyDescent="0.35">
      <c r="A1063" s="4">
        <v>41064</v>
      </c>
      <c r="B1063" s="2">
        <v>11070</v>
      </c>
      <c r="C1063" s="2">
        <v>308</v>
      </c>
      <c r="D1063" s="2">
        <v>23</v>
      </c>
      <c r="E1063" s="2">
        <v>80</v>
      </c>
      <c r="F1063" s="2">
        <v>1</v>
      </c>
      <c r="G1063" s="2">
        <v>4</v>
      </c>
      <c r="H1063" s="2">
        <v>29</v>
      </c>
      <c r="I1063" s="2">
        <v>25</v>
      </c>
      <c r="J1063" t="str">
        <f>_xlfn.XLOOKUP(Table2[[#This Row],[Customer_ID]],Table1[Customer_ID],Table1[Customer_Name])</f>
        <v>Collette Romain</v>
      </c>
    </row>
    <row r="1064" spans="1:10" x14ac:dyDescent="0.35">
      <c r="A1064" s="4">
        <v>41064</v>
      </c>
      <c r="B1064" s="2">
        <v>11070</v>
      </c>
      <c r="C1064" s="2">
        <v>15</v>
      </c>
      <c r="D1064" s="2">
        <v>23</v>
      </c>
      <c r="E1064" s="2">
        <v>80</v>
      </c>
      <c r="F1064" s="2">
        <v>1</v>
      </c>
      <c r="G1064" s="2">
        <v>2</v>
      </c>
      <c r="H1064" s="2">
        <v>428</v>
      </c>
      <c r="I1064" s="2">
        <v>25</v>
      </c>
      <c r="J1064" t="str">
        <f>_xlfn.XLOOKUP(Table2[[#This Row],[Customer_ID]],Table1[Customer_ID],Table1[Customer_Name])</f>
        <v>Collette Romain</v>
      </c>
    </row>
    <row r="1065" spans="1:10" x14ac:dyDescent="0.35">
      <c r="A1065" s="4">
        <v>41064</v>
      </c>
      <c r="B1065" s="2">
        <v>11072</v>
      </c>
      <c r="C1065" s="2">
        <v>165</v>
      </c>
      <c r="D1065" s="2">
        <v>25</v>
      </c>
      <c r="E1065" s="2">
        <v>73</v>
      </c>
      <c r="F1065" s="2">
        <v>1</v>
      </c>
      <c r="G1065" s="2">
        <v>3</v>
      </c>
      <c r="H1065" s="2">
        <v>202</v>
      </c>
      <c r="I1065" s="2">
        <v>25</v>
      </c>
      <c r="J1065" t="str">
        <f>_xlfn.XLOOKUP(Table2[[#This Row],[Customer_ID]],Table1[Customer_ID],Table1[Customer_Name])</f>
        <v>Cristy Claire</v>
      </c>
    </row>
    <row r="1066" spans="1:10" x14ac:dyDescent="0.35">
      <c r="A1066" s="4">
        <v>41065</v>
      </c>
      <c r="B1066" s="2">
        <v>11076</v>
      </c>
      <c r="C1066" s="2">
        <v>232</v>
      </c>
      <c r="D1066" s="2">
        <v>29</v>
      </c>
      <c r="E1066" s="2">
        <v>82</v>
      </c>
      <c r="F1066" s="2">
        <v>1</v>
      </c>
      <c r="G1066" s="2">
        <v>9</v>
      </c>
      <c r="H1066" s="2">
        <v>4</v>
      </c>
      <c r="I1066" s="2">
        <v>25</v>
      </c>
      <c r="J1066" t="str">
        <f>_xlfn.XLOOKUP(Table2[[#This Row],[Customer_ID]],Table1[Customer_ID],Table1[Customer_Name])</f>
        <v>Deneen Client</v>
      </c>
    </row>
    <row r="1067" spans="1:10" x14ac:dyDescent="0.35">
      <c r="A1067" s="4">
        <v>41065</v>
      </c>
      <c r="B1067" s="2">
        <v>11076</v>
      </c>
      <c r="C1067" s="2">
        <v>289</v>
      </c>
      <c r="D1067" s="2">
        <v>29</v>
      </c>
      <c r="E1067" s="2">
        <v>82</v>
      </c>
      <c r="F1067" s="2">
        <v>1</v>
      </c>
      <c r="G1067" s="2">
        <v>4</v>
      </c>
      <c r="H1067" s="2">
        <v>4</v>
      </c>
      <c r="I1067" s="2">
        <v>25</v>
      </c>
      <c r="J1067" t="str">
        <f>_xlfn.XLOOKUP(Table2[[#This Row],[Customer_ID]],Table1[Customer_ID],Table1[Customer_Name])</f>
        <v>Deneen Client</v>
      </c>
    </row>
    <row r="1068" spans="1:10" x14ac:dyDescent="0.35">
      <c r="A1068" s="4">
        <v>41065</v>
      </c>
      <c r="B1068" s="2">
        <v>11074</v>
      </c>
      <c r="C1068" s="2">
        <v>175</v>
      </c>
      <c r="D1068" s="2">
        <v>27</v>
      </c>
      <c r="E1068" s="2">
        <v>56</v>
      </c>
      <c r="F1068" s="2">
        <v>1</v>
      </c>
      <c r="G1068" s="2">
        <v>5</v>
      </c>
      <c r="H1068" s="2">
        <v>270</v>
      </c>
      <c r="I1068" s="2">
        <v>25</v>
      </c>
      <c r="J1068" t="str">
        <f>_xlfn.XLOOKUP(Table2[[#This Row],[Customer_ID]],Table1[Customer_ID],Table1[Customer_Name])</f>
        <v>Daniel Emmerich</v>
      </c>
    </row>
    <row r="1069" spans="1:10" x14ac:dyDescent="0.35">
      <c r="A1069" s="4">
        <v>41065</v>
      </c>
      <c r="B1069" s="2">
        <v>11076</v>
      </c>
      <c r="C1069" s="2">
        <v>278</v>
      </c>
      <c r="D1069" s="2">
        <v>29</v>
      </c>
      <c r="E1069" s="2">
        <v>82</v>
      </c>
      <c r="F1069" s="2">
        <v>1</v>
      </c>
      <c r="G1069" s="2">
        <v>2</v>
      </c>
      <c r="H1069" s="2">
        <v>2</v>
      </c>
      <c r="I1069" s="2">
        <v>25</v>
      </c>
      <c r="J1069" t="str">
        <f>_xlfn.XLOOKUP(Table2[[#This Row],[Customer_ID]],Table1[Customer_ID],Table1[Customer_Name])</f>
        <v>Deneen Client</v>
      </c>
    </row>
    <row r="1070" spans="1:10" x14ac:dyDescent="0.35">
      <c r="A1070" s="4">
        <v>40395</v>
      </c>
      <c r="B1070" s="2">
        <v>10249</v>
      </c>
      <c r="C1070" s="2">
        <v>426</v>
      </c>
      <c r="D1070" s="2">
        <v>2</v>
      </c>
      <c r="E1070" s="2">
        <v>20</v>
      </c>
      <c r="F1070" s="2">
        <v>2</v>
      </c>
      <c r="G1070" s="2">
        <v>1</v>
      </c>
      <c r="H1070" s="2">
        <v>7</v>
      </c>
      <c r="I1070" s="2">
        <v>0</v>
      </c>
      <c r="J1070" t="str">
        <f>_xlfn.XLOOKUP(Table2[[#This Row],[Customer_ID]],Table1[Customer_ID],Table1[Customer_Name])</f>
        <v>Alaine Kindig</v>
      </c>
    </row>
    <row r="1071" spans="1:10" x14ac:dyDescent="0.35">
      <c r="A1071" s="4">
        <v>40395</v>
      </c>
      <c r="B1071" s="2">
        <v>10249</v>
      </c>
      <c r="C1071" s="2">
        <v>414</v>
      </c>
      <c r="D1071" s="2">
        <v>2</v>
      </c>
      <c r="E1071" s="2">
        <v>20</v>
      </c>
      <c r="F1071" s="2">
        <v>2</v>
      </c>
      <c r="G1071" s="2">
        <v>2</v>
      </c>
      <c r="H1071" s="2">
        <v>16</v>
      </c>
      <c r="I1071" s="2">
        <v>0</v>
      </c>
      <c r="J1071" t="str">
        <f>_xlfn.XLOOKUP(Table2[[#This Row],[Customer_ID]],Table1[Customer_ID],Table1[Customer_Name])</f>
        <v>Alaine Kindig</v>
      </c>
    </row>
    <row r="1072" spans="1:10" x14ac:dyDescent="0.35">
      <c r="A1072" s="4">
        <v>40398</v>
      </c>
      <c r="B1072" s="2">
        <v>10251</v>
      </c>
      <c r="C1072" s="2">
        <v>391</v>
      </c>
      <c r="D1072" s="2">
        <v>4</v>
      </c>
      <c r="E1072" s="2">
        <v>36</v>
      </c>
      <c r="F1072" s="2">
        <v>2</v>
      </c>
      <c r="G1072" s="2">
        <v>3</v>
      </c>
      <c r="H1072" s="2">
        <v>8</v>
      </c>
      <c r="I1072" s="2">
        <v>0</v>
      </c>
      <c r="J1072" t="str">
        <f>_xlfn.XLOOKUP(Table2[[#This Row],[Customer_ID]],Table1[Customer_ID],Table1[Customer_Name])</f>
        <v>Andreas Armour</v>
      </c>
    </row>
    <row r="1073" spans="1:10" x14ac:dyDescent="0.35">
      <c r="A1073" s="4">
        <v>40398</v>
      </c>
      <c r="B1073" s="2">
        <v>10251</v>
      </c>
      <c r="C1073" s="2">
        <v>399</v>
      </c>
      <c r="D1073" s="2">
        <v>4</v>
      </c>
      <c r="E1073" s="2">
        <v>63</v>
      </c>
      <c r="F1073" s="2">
        <v>2</v>
      </c>
      <c r="G1073" s="2">
        <v>3</v>
      </c>
      <c r="H1073" s="2">
        <v>8</v>
      </c>
      <c r="I1073" s="2">
        <v>0</v>
      </c>
      <c r="J1073" t="str">
        <f>_xlfn.XLOOKUP(Table2[[#This Row],[Customer_ID]],Table1[Customer_ID],Table1[Customer_Name])</f>
        <v>Andreas Armour</v>
      </c>
    </row>
    <row r="1074" spans="1:10" x14ac:dyDescent="0.35">
      <c r="A1074" s="4">
        <v>40398</v>
      </c>
      <c r="B1074" s="2">
        <v>10251</v>
      </c>
      <c r="C1074" s="2">
        <v>353</v>
      </c>
      <c r="D1074" s="2">
        <v>4</v>
      </c>
      <c r="E1074" s="2">
        <v>63</v>
      </c>
      <c r="F1074" s="2">
        <v>2</v>
      </c>
      <c r="G1074" s="2">
        <v>1</v>
      </c>
      <c r="H1074" s="2">
        <v>33</v>
      </c>
      <c r="I1074" s="2">
        <v>0</v>
      </c>
      <c r="J1074" t="str">
        <f>_xlfn.XLOOKUP(Table2[[#This Row],[Customer_ID]],Table1[Customer_ID],Table1[Customer_Name])</f>
        <v>Andreas Armour</v>
      </c>
    </row>
    <row r="1075" spans="1:10" x14ac:dyDescent="0.35">
      <c r="A1075" s="4">
        <v>40400</v>
      </c>
      <c r="B1075" s="2">
        <v>10253</v>
      </c>
      <c r="C1075" s="2">
        <v>392</v>
      </c>
      <c r="D1075" s="2">
        <v>6</v>
      </c>
      <c r="E1075" s="2">
        <v>53</v>
      </c>
      <c r="F1075" s="2">
        <v>2</v>
      </c>
      <c r="G1075" s="2">
        <v>1</v>
      </c>
      <c r="H1075" s="2">
        <v>6</v>
      </c>
      <c r="I1075" s="2">
        <v>0</v>
      </c>
      <c r="J1075" t="str">
        <f>_xlfn.XLOOKUP(Table2[[#This Row],[Customer_ID]],Table1[Customer_ID],Table1[Customer_Name])</f>
        <v>Anjelica Usrey</v>
      </c>
    </row>
    <row r="1076" spans="1:10" x14ac:dyDescent="0.35">
      <c r="A1076" s="4">
        <v>40400</v>
      </c>
      <c r="B1076" s="2">
        <v>10253</v>
      </c>
      <c r="C1076" s="2">
        <v>187</v>
      </c>
      <c r="D1076" s="2">
        <v>6</v>
      </c>
      <c r="E1076" s="2">
        <v>53</v>
      </c>
      <c r="F1076" s="2">
        <v>2</v>
      </c>
      <c r="G1076" s="2">
        <v>1</v>
      </c>
      <c r="H1076" s="2">
        <v>413</v>
      </c>
      <c r="I1076" s="2">
        <v>0</v>
      </c>
      <c r="J1076" t="str">
        <f>_xlfn.XLOOKUP(Table2[[#This Row],[Customer_ID]],Table1[Customer_ID],Table1[Customer_Name])</f>
        <v>Anjelica Usrey</v>
      </c>
    </row>
    <row r="1077" spans="1:10" x14ac:dyDescent="0.35">
      <c r="A1077" s="4">
        <v>40400</v>
      </c>
      <c r="B1077" s="2">
        <v>10253</v>
      </c>
      <c r="C1077" s="2">
        <v>350</v>
      </c>
      <c r="D1077" s="2">
        <v>6</v>
      </c>
      <c r="E1077" s="2">
        <v>53</v>
      </c>
      <c r="F1077" s="2">
        <v>2</v>
      </c>
      <c r="G1077" s="2">
        <v>1</v>
      </c>
      <c r="H1077" s="2">
        <v>59</v>
      </c>
      <c r="I1077" s="2">
        <v>0</v>
      </c>
      <c r="J1077" t="str">
        <f>_xlfn.XLOOKUP(Table2[[#This Row],[Customer_ID]],Table1[Customer_ID],Table1[Customer_Name])</f>
        <v>Anjelica Usrey</v>
      </c>
    </row>
    <row r="1078" spans="1:10" x14ac:dyDescent="0.35">
      <c r="A1078" s="4">
        <v>40402</v>
      </c>
      <c r="B1078" s="2">
        <v>10255</v>
      </c>
      <c r="C1078" s="2">
        <v>27</v>
      </c>
      <c r="D1078" s="2">
        <v>8</v>
      </c>
      <c r="E1078" s="2">
        <v>60</v>
      </c>
      <c r="F1078" s="2">
        <v>2</v>
      </c>
      <c r="G1078" s="2">
        <v>3</v>
      </c>
      <c r="H1078" s="2">
        <v>769</v>
      </c>
      <c r="I1078" s="2">
        <v>0</v>
      </c>
      <c r="J1078" t="str">
        <f>_xlfn.XLOOKUP(Table2[[#This Row],[Customer_ID]],Table1[Customer_ID],Table1[Customer_Name])</f>
        <v>Ashley Ables</v>
      </c>
    </row>
    <row r="1079" spans="1:10" x14ac:dyDescent="0.35">
      <c r="A1079" s="4">
        <v>40402</v>
      </c>
      <c r="B1079" s="2">
        <v>10255</v>
      </c>
      <c r="C1079" s="2">
        <v>28</v>
      </c>
      <c r="D1079" s="2">
        <v>8</v>
      </c>
      <c r="E1079" s="2">
        <v>60</v>
      </c>
      <c r="F1079" s="2">
        <v>2</v>
      </c>
      <c r="G1079" s="2">
        <v>5</v>
      </c>
      <c r="H1079" s="2">
        <v>421</v>
      </c>
      <c r="I1079" s="2">
        <v>0</v>
      </c>
      <c r="J1079" t="str">
        <f>_xlfn.XLOOKUP(Table2[[#This Row],[Customer_ID]],Table1[Customer_ID],Table1[Customer_Name])</f>
        <v>Ashley Ables</v>
      </c>
    </row>
    <row r="1080" spans="1:10" x14ac:dyDescent="0.35">
      <c r="A1080" s="4">
        <v>40402</v>
      </c>
      <c r="B1080" s="2">
        <v>10255</v>
      </c>
      <c r="C1080" s="2">
        <v>29</v>
      </c>
      <c r="D1080" s="2">
        <v>8</v>
      </c>
      <c r="E1080" s="2">
        <v>60</v>
      </c>
      <c r="F1080" s="2">
        <v>2</v>
      </c>
      <c r="G1080" s="2">
        <v>8</v>
      </c>
      <c r="H1080" s="2">
        <v>647</v>
      </c>
      <c r="I1080" s="2">
        <v>0</v>
      </c>
      <c r="J1080" t="str">
        <f>_xlfn.XLOOKUP(Table2[[#This Row],[Customer_ID]],Table1[Customer_ID],Table1[Customer_Name])</f>
        <v>Ashley Ables</v>
      </c>
    </row>
    <row r="1081" spans="1:10" x14ac:dyDescent="0.35">
      <c r="A1081" s="4">
        <v>40402</v>
      </c>
      <c r="B1081" s="2">
        <v>10255</v>
      </c>
      <c r="C1081" s="2">
        <v>188</v>
      </c>
      <c r="D1081" s="2">
        <v>8</v>
      </c>
      <c r="E1081" s="2">
        <v>60</v>
      </c>
      <c r="F1081" s="2">
        <v>2</v>
      </c>
      <c r="G1081" s="2">
        <v>1</v>
      </c>
      <c r="H1081" s="2">
        <v>650</v>
      </c>
      <c r="I1081" s="2">
        <v>0</v>
      </c>
      <c r="J1081" t="str">
        <f>_xlfn.XLOOKUP(Table2[[#This Row],[Customer_ID]],Table1[Customer_ID],Table1[Customer_Name])</f>
        <v>Ashley Ables</v>
      </c>
    </row>
    <row r="1082" spans="1:10" x14ac:dyDescent="0.35">
      <c r="A1082" s="4">
        <v>40406</v>
      </c>
      <c r="B1082" s="2">
        <v>10257</v>
      </c>
      <c r="C1082" s="2">
        <v>113</v>
      </c>
      <c r="D1082" s="2">
        <v>10</v>
      </c>
      <c r="E1082" s="2">
        <v>20</v>
      </c>
      <c r="F1082" s="2">
        <v>2</v>
      </c>
      <c r="G1082" s="2">
        <v>2</v>
      </c>
      <c r="H1082" s="2">
        <v>1301</v>
      </c>
      <c r="I1082" s="2">
        <v>0</v>
      </c>
      <c r="J1082" t="str">
        <f>_xlfn.XLOOKUP(Table2[[#This Row],[Customer_ID]],Table1[Customer_ID],Table1[Customer_Name])</f>
        <v>Berniece Blakely</v>
      </c>
    </row>
    <row r="1083" spans="1:10" x14ac:dyDescent="0.35">
      <c r="A1083" s="4">
        <v>40406</v>
      </c>
      <c r="B1083" s="2">
        <v>10257</v>
      </c>
      <c r="C1083" s="2">
        <v>114</v>
      </c>
      <c r="D1083" s="2">
        <v>10</v>
      </c>
      <c r="E1083" s="2">
        <v>20</v>
      </c>
      <c r="F1083" s="2">
        <v>2</v>
      </c>
      <c r="G1083" s="2">
        <v>2</v>
      </c>
      <c r="H1083" s="2">
        <v>1952</v>
      </c>
      <c r="I1083" s="2">
        <v>0</v>
      </c>
      <c r="J1083" t="str">
        <f>_xlfn.XLOOKUP(Table2[[#This Row],[Customer_ID]],Table1[Customer_ID],Table1[Customer_Name])</f>
        <v>Berniece Blakely</v>
      </c>
    </row>
    <row r="1084" spans="1:10" x14ac:dyDescent="0.35">
      <c r="A1084" s="4">
        <v>40406</v>
      </c>
      <c r="B1084" s="2">
        <v>10257</v>
      </c>
      <c r="C1084" s="2">
        <v>115</v>
      </c>
      <c r="D1084" s="2">
        <v>10</v>
      </c>
      <c r="E1084" s="2">
        <v>20</v>
      </c>
      <c r="F1084" s="2">
        <v>2</v>
      </c>
      <c r="G1084" s="2">
        <v>3</v>
      </c>
      <c r="H1084" s="2">
        <v>2882</v>
      </c>
      <c r="I1084" s="2">
        <v>0</v>
      </c>
      <c r="J1084" t="str">
        <f>_xlfn.XLOOKUP(Table2[[#This Row],[Customer_ID]],Table1[Customer_ID],Table1[Customer_Name])</f>
        <v>Berniece Blakely</v>
      </c>
    </row>
    <row r="1085" spans="1:10" x14ac:dyDescent="0.35">
      <c r="A1085" s="4">
        <v>40408</v>
      </c>
      <c r="B1085" s="2">
        <v>10259</v>
      </c>
      <c r="C1085" s="2">
        <v>202</v>
      </c>
      <c r="D1085" s="2">
        <v>12</v>
      </c>
      <c r="E1085" s="2">
        <v>63</v>
      </c>
      <c r="F1085" s="2">
        <v>2</v>
      </c>
      <c r="G1085" s="2">
        <v>3</v>
      </c>
      <c r="H1085" s="2">
        <v>4</v>
      </c>
      <c r="I1085" s="2">
        <v>0</v>
      </c>
      <c r="J1085" t="str">
        <f>_xlfn.XLOOKUP(Table2[[#This Row],[Customer_ID]],Table1[Customer_ID],Table1[Customer_Name])</f>
        <v>Brittney Edmond</v>
      </c>
    </row>
    <row r="1086" spans="1:10" x14ac:dyDescent="0.35">
      <c r="A1086" s="4">
        <v>40408</v>
      </c>
      <c r="B1086" s="2">
        <v>10259</v>
      </c>
      <c r="C1086" s="2">
        <v>69</v>
      </c>
      <c r="D1086" s="2">
        <v>12</v>
      </c>
      <c r="E1086" s="2">
        <v>63</v>
      </c>
      <c r="F1086" s="2">
        <v>2</v>
      </c>
      <c r="G1086" s="2">
        <v>4</v>
      </c>
      <c r="H1086" s="2">
        <v>21</v>
      </c>
      <c r="I1086" s="2">
        <v>0</v>
      </c>
      <c r="J1086" t="str">
        <f>_xlfn.XLOOKUP(Table2[[#This Row],[Customer_ID]],Table1[Customer_ID],Table1[Customer_Name])</f>
        <v>Brittney Edmond</v>
      </c>
    </row>
    <row r="1087" spans="1:10" x14ac:dyDescent="0.35">
      <c r="A1087" s="4">
        <v>40409</v>
      </c>
      <c r="B1087" s="2">
        <v>10261</v>
      </c>
      <c r="C1087" s="2">
        <v>250</v>
      </c>
      <c r="D1087" s="2">
        <v>14</v>
      </c>
      <c r="E1087" s="2">
        <v>33</v>
      </c>
      <c r="F1087" s="2">
        <v>2</v>
      </c>
      <c r="G1087" s="2">
        <v>3</v>
      </c>
      <c r="H1087" s="2">
        <v>35</v>
      </c>
      <c r="I1087" s="2">
        <v>0</v>
      </c>
      <c r="J1087" t="str">
        <f>_xlfn.XLOOKUP(Table2[[#This Row],[Customer_ID]],Table1[Customer_ID],Table1[Customer_Name])</f>
        <v>Cari Craw</v>
      </c>
    </row>
    <row r="1088" spans="1:10" x14ac:dyDescent="0.35">
      <c r="A1088" s="4">
        <v>40409</v>
      </c>
      <c r="B1088" s="2">
        <v>10261</v>
      </c>
      <c r="C1088" s="2">
        <v>349</v>
      </c>
      <c r="D1088" s="2">
        <v>14</v>
      </c>
      <c r="E1088" s="2">
        <v>33</v>
      </c>
      <c r="F1088" s="2">
        <v>2</v>
      </c>
      <c r="G1088" s="2">
        <v>2</v>
      </c>
      <c r="H1088" s="2">
        <v>7</v>
      </c>
      <c r="I1088" s="2">
        <v>0</v>
      </c>
      <c r="J1088" t="str">
        <f>_xlfn.XLOOKUP(Table2[[#This Row],[Customer_ID]],Table1[Customer_ID],Table1[Customer_Name])</f>
        <v>Cari Craw</v>
      </c>
    </row>
    <row r="1089" spans="1:10" x14ac:dyDescent="0.35">
      <c r="A1089" s="4">
        <v>40413</v>
      </c>
      <c r="B1089" s="2">
        <v>10263</v>
      </c>
      <c r="C1089" s="2">
        <v>355</v>
      </c>
      <c r="D1089" s="2">
        <v>16</v>
      </c>
      <c r="E1089" s="2">
        <v>37</v>
      </c>
      <c r="F1089" s="2">
        <v>2</v>
      </c>
      <c r="G1089" s="2">
        <v>1</v>
      </c>
      <c r="H1089" s="2">
        <v>62</v>
      </c>
      <c r="I1089" s="2">
        <v>0</v>
      </c>
      <c r="J1089" t="str">
        <f>_xlfn.XLOOKUP(Table2[[#This Row],[Customer_ID]],Table1[Customer_ID],Table1[Customer_Name])</f>
        <v>Casandra Flewelling</v>
      </c>
    </row>
    <row r="1090" spans="1:10" x14ac:dyDescent="0.35">
      <c r="A1090" s="4">
        <v>40413</v>
      </c>
      <c r="B1090" s="2">
        <v>10263</v>
      </c>
      <c r="C1090" s="2">
        <v>44</v>
      </c>
      <c r="D1090" s="2">
        <v>16</v>
      </c>
      <c r="E1090" s="2">
        <v>37</v>
      </c>
      <c r="F1090" s="2">
        <v>2</v>
      </c>
      <c r="G1090" s="2">
        <v>7</v>
      </c>
      <c r="H1090" s="2">
        <v>14</v>
      </c>
      <c r="I1090" s="2">
        <v>0</v>
      </c>
      <c r="J1090" t="str">
        <f>_xlfn.XLOOKUP(Table2[[#This Row],[Customer_ID]],Table1[Customer_ID],Table1[Customer_Name])</f>
        <v>Casandra Flewelling</v>
      </c>
    </row>
    <row r="1091" spans="1:10" x14ac:dyDescent="0.35">
      <c r="A1091" s="4">
        <v>40413</v>
      </c>
      <c r="B1091" s="2">
        <v>10263</v>
      </c>
      <c r="C1091" s="2">
        <v>37</v>
      </c>
      <c r="D1091" s="2">
        <v>16</v>
      </c>
      <c r="E1091" s="2">
        <v>37</v>
      </c>
      <c r="F1091" s="2">
        <v>2</v>
      </c>
      <c r="G1091" s="2">
        <v>1</v>
      </c>
      <c r="H1091" s="2">
        <v>11</v>
      </c>
      <c r="I1091" s="2">
        <v>0</v>
      </c>
      <c r="J1091" t="str">
        <f>_xlfn.XLOOKUP(Table2[[#This Row],[Customer_ID]],Table1[Customer_ID],Table1[Customer_Name])</f>
        <v>Casandra Flewelling</v>
      </c>
    </row>
    <row r="1092" spans="1:10" x14ac:dyDescent="0.35">
      <c r="A1092" s="4">
        <v>40413</v>
      </c>
      <c r="B1092" s="2">
        <v>10263</v>
      </c>
      <c r="C1092" s="2">
        <v>323</v>
      </c>
      <c r="D1092" s="2">
        <v>16</v>
      </c>
      <c r="E1092" s="2">
        <v>37</v>
      </c>
      <c r="F1092" s="2">
        <v>2</v>
      </c>
      <c r="G1092" s="2">
        <v>5</v>
      </c>
      <c r="H1092" s="2">
        <v>7</v>
      </c>
      <c r="I1092" s="2">
        <v>0</v>
      </c>
      <c r="J1092" t="str">
        <f>_xlfn.XLOOKUP(Table2[[#This Row],[Customer_ID]],Table1[Customer_ID],Table1[Customer_Name])</f>
        <v>Casandra Flewelling</v>
      </c>
    </row>
    <row r="1093" spans="1:10" x14ac:dyDescent="0.35">
      <c r="A1093" s="4">
        <v>40415</v>
      </c>
      <c r="B1093" s="2">
        <v>10265</v>
      </c>
      <c r="C1093" s="2">
        <v>345</v>
      </c>
      <c r="D1093" s="2">
        <v>18</v>
      </c>
      <c r="E1093" s="2">
        <v>40</v>
      </c>
      <c r="F1093" s="2">
        <v>2</v>
      </c>
      <c r="G1093" s="2">
        <v>9</v>
      </c>
      <c r="H1093" s="2">
        <v>5</v>
      </c>
      <c r="I1093" s="2">
        <v>0</v>
      </c>
      <c r="J1093" t="str">
        <f>_xlfn.XLOOKUP(Table2[[#This Row],[Customer_ID]],Table1[Customer_ID],Table1[Customer_Name])</f>
        <v>Cecilia Crossman</v>
      </c>
    </row>
    <row r="1094" spans="1:10" x14ac:dyDescent="0.35">
      <c r="A1094" s="4">
        <v>40415</v>
      </c>
      <c r="B1094" s="2">
        <v>10265</v>
      </c>
      <c r="C1094" s="2">
        <v>346</v>
      </c>
      <c r="D1094" s="2">
        <v>18</v>
      </c>
      <c r="E1094" s="2">
        <v>40</v>
      </c>
      <c r="F1094" s="2">
        <v>2</v>
      </c>
      <c r="G1094" s="2">
        <v>5</v>
      </c>
      <c r="H1094" s="2">
        <v>2</v>
      </c>
      <c r="I1094" s="2">
        <v>0</v>
      </c>
      <c r="J1094" t="str">
        <f>_xlfn.XLOOKUP(Table2[[#This Row],[Customer_ID]],Table1[Customer_ID],Table1[Customer_Name])</f>
        <v>Cecilia Crossman</v>
      </c>
    </row>
    <row r="1095" spans="1:10" x14ac:dyDescent="0.35">
      <c r="A1095" s="4">
        <v>40419</v>
      </c>
      <c r="B1095" s="2">
        <v>10267</v>
      </c>
      <c r="C1095" s="2">
        <v>147</v>
      </c>
      <c r="D1095" s="2">
        <v>20</v>
      </c>
      <c r="E1095" s="2">
        <v>42</v>
      </c>
      <c r="F1095" s="2">
        <v>2</v>
      </c>
      <c r="G1095" s="2">
        <v>2</v>
      </c>
      <c r="H1095" s="2">
        <v>576</v>
      </c>
      <c r="I1095" s="2">
        <v>0</v>
      </c>
      <c r="J1095" t="str">
        <f>_xlfn.XLOOKUP(Table2[[#This Row],[Customer_ID]],Table1[Customer_ID],Table1[Customer_Name])</f>
        <v>Chelsey Powers</v>
      </c>
    </row>
    <row r="1096" spans="1:10" x14ac:dyDescent="0.35">
      <c r="A1096" s="4">
        <v>40419</v>
      </c>
      <c r="B1096" s="2">
        <v>10267</v>
      </c>
      <c r="C1096" s="2">
        <v>162</v>
      </c>
      <c r="D1096" s="2">
        <v>20</v>
      </c>
      <c r="E1096" s="2">
        <v>42</v>
      </c>
      <c r="F1096" s="2">
        <v>2</v>
      </c>
      <c r="G1096" s="2">
        <v>3</v>
      </c>
      <c r="H1096" s="2">
        <v>3992</v>
      </c>
      <c r="I1096" s="2">
        <v>0</v>
      </c>
      <c r="J1096" t="str">
        <f>_xlfn.XLOOKUP(Table2[[#This Row],[Customer_ID]],Table1[Customer_ID],Table1[Customer_Name])</f>
        <v>Chelsey Powers</v>
      </c>
    </row>
    <row r="1097" spans="1:10" x14ac:dyDescent="0.35">
      <c r="A1097" s="4">
        <v>40419</v>
      </c>
      <c r="B1097" s="2">
        <v>10267</v>
      </c>
      <c r="C1097" s="2">
        <v>151</v>
      </c>
      <c r="D1097" s="2">
        <v>20</v>
      </c>
      <c r="E1097" s="2">
        <v>42</v>
      </c>
      <c r="F1097" s="2">
        <v>2</v>
      </c>
      <c r="G1097" s="2">
        <v>3</v>
      </c>
      <c r="H1097" s="2">
        <v>526</v>
      </c>
      <c r="I1097" s="2">
        <v>0</v>
      </c>
      <c r="J1097" t="str">
        <f>_xlfn.XLOOKUP(Table2[[#This Row],[Customer_ID]],Table1[Customer_ID],Table1[Customer_Name])</f>
        <v>Chelsey Powers</v>
      </c>
    </row>
    <row r="1098" spans="1:10" x14ac:dyDescent="0.35">
      <c r="A1098" s="4">
        <v>40420</v>
      </c>
      <c r="B1098" s="2">
        <v>10268</v>
      </c>
      <c r="C1098" s="2">
        <v>153</v>
      </c>
      <c r="D1098" s="2">
        <v>21</v>
      </c>
      <c r="E1098" s="2">
        <v>61</v>
      </c>
      <c r="F1098" s="2">
        <v>2</v>
      </c>
      <c r="G1098" s="2">
        <v>5</v>
      </c>
      <c r="H1098" s="2">
        <v>856</v>
      </c>
      <c r="I1098" s="2">
        <v>0</v>
      </c>
      <c r="J1098" t="str">
        <f>_xlfn.XLOOKUP(Table2[[#This Row],[Customer_ID]],Table1[Customer_ID],Table1[Customer_Name])</f>
        <v>Clemencia Gwyn</v>
      </c>
    </row>
    <row r="1099" spans="1:10" x14ac:dyDescent="0.35">
      <c r="A1099" s="4">
        <v>40421</v>
      </c>
      <c r="B1099" s="2">
        <v>10269</v>
      </c>
      <c r="C1099" s="2">
        <v>177</v>
      </c>
      <c r="D1099" s="2">
        <v>22</v>
      </c>
      <c r="E1099" s="2">
        <v>48</v>
      </c>
      <c r="F1099" s="2">
        <v>2</v>
      </c>
      <c r="G1099" s="2">
        <v>6</v>
      </c>
      <c r="H1099" s="2">
        <v>758</v>
      </c>
      <c r="I1099" s="2">
        <v>0</v>
      </c>
      <c r="J1099" t="str">
        <f>_xlfn.XLOOKUP(Table2[[#This Row],[Customer_ID]],Table1[Customer_ID],Table1[Customer_Name])</f>
        <v>Colleen Coplin</v>
      </c>
    </row>
    <row r="1100" spans="1:10" x14ac:dyDescent="0.35">
      <c r="A1100" s="4">
        <v>40421</v>
      </c>
      <c r="B1100" s="2">
        <v>10269</v>
      </c>
      <c r="C1100" s="2">
        <v>172</v>
      </c>
      <c r="D1100" s="2">
        <v>22</v>
      </c>
      <c r="E1100" s="2">
        <v>48</v>
      </c>
      <c r="F1100" s="2">
        <v>2</v>
      </c>
      <c r="G1100" s="2">
        <v>1</v>
      </c>
      <c r="H1100" s="2">
        <v>463</v>
      </c>
      <c r="I1100" s="2">
        <v>0</v>
      </c>
      <c r="J1100" t="str">
        <f>_xlfn.XLOOKUP(Table2[[#This Row],[Customer_ID]],Table1[Customer_ID],Table1[Customer_Name])</f>
        <v>Colleen Coplin</v>
      </c>
    </row>
    <row r="1101" spans="1:10" x14ac:dyDescent="0.35">
      <c r="A1101" s="4">
        <v>40422</v>
      </c>
      <c r="B1101" s="2">
        <v>10271</v>
      </c>
      <c r="C1101" s="2">
        <v>215</v>
      </c>
      <c r="D1101" s="2">
        <v>24</v>
      </c>
      <c r="E1101" s="2">
        <v>59</v>
      </c>
      <c r="F1101" s="2">
        <v>2</v>
      </c>
      <c r="G1101" s="2">
        <v>6</v>
      </c>
      <c r="H1101" s="2">
        <v>6</v>
      </c>
      <c r="I1101" s="2">
        <v>0</v>
      </c>
      <c r="J1101" t="str">
        <f>_xlfn.XLOOKUP(Table2[[#This Row],[Customer_ID]],Table1[Customer_ID],Table1[Customer_Name])</f>
        <v>Corrinne Cataldo</v>
      </c>
    </row>
    <row r="1102" spans="1:10" x14ac:dyDescent="0.35">
      <c r="A1102" s="4">
        <v>40426</v>
      </c>
      <c r="B1102" s="2">
        <v>10273</v>
      </c>
      <c r="C1102" s="2">
        <v>317</v>
      </c>
      <c r="D1102" s="2">
        <v>26</v>
      </c>
      <c r="E1102" s="2">
        <v>93</v>
      </c>
      <c r="F1102" s="2">
        <v>2</v>
      </c>
      <c r="G1102" s="2">
        <v>2</v>
      </c>
      <c r="H1102" s="2">
        <v>45</v>
      </c>
      <c r="I1102" s="2">
        <v>0</v>
      </c>
      <c r="J1102" t="str">
        <f>_xlfn.XLOOKUP(Table2[[#This Row],[Customer_ID]],Table1[Customer_ID],Table1[Customer_Name])</f>
        <v>Cyndy Collie</v>
      </c>
    </row>
    <row r="1103" spans="1:10" x14ac:dyDescent="0.35">
      <c r="A1103" s="4">
        <v>40426</v>
      </c>
      <c r="B1103" s="2">
        <v>10273</v>
      </c>
      <c r="C1103" s="2">
        <v>385</v>
      </c>
      <c r="D1103" s="2">
        <v>26</v>
      </c>
      <c r="E1103" s="2">
        <v>93</v>
      </c>
      <c r="F1103" s="2">
        <v>2</v>
      </c>
      <c r="G1103" s="2">
        <v>2</v>
      </c>
      <c r="H1103" s="2">
        <v>8</v>
      </c>
      <c r="I1103" s="2">
        <v>0</v>
      </c>
      <c r="J1103" t="str">
        <f>_xlfn.XLOOKUP(Table2[[#This Row],[Customer_ID]],Table1[Customer_ID],Table1[Customer_Name])</f>
        <v>Cyndy Collie</v>
      </c>
    </row>
    <row r="1104" spans="1:10" x14ac:dyDescent="0.35">
      <c r="A1104" s="4">
        <v>40426</v>
      </c>
      <c r="B1104" s="2">
        <v>10273</v>
      </c>
      <c r="C1104" s="2">
        <v>365</v>
      </c>
      <c r="D1104" s="2">
        <v>26</v>
      </c>
      <c r="E1104" s="2">
        <v>93</v>
      </c>
      <c r="F1104" s="2">
        <v>2</v>
      </c>
      <c r="G1104" s="2">
        <v>4</v>
      </c>
      <c r="H1104" s="2">
        <v>7</v>
      </c>
      <c r="I1104" s="2">
        <v>0</v>
      </c>
      <c r="J1104" t="str">
        <f>_xlfn.XLOOKUP(Table2[[#This Row],[Customer_ID]],Table1[Customer_ID],Table1[Customer_Name])</f>
        <v>Cyndy Collie</v>
      </c>
    </row>
    <row r="1105" spans="1:10" x14ac:dyDescent="0.35">
      <c r="A1105" s="4">
        <v>40426</v>
      </c>
      <c r="B1105" s="2">
        <v>10273</v>
      </c>
      <c r="C1105" s="2">
        <v>315</v>
      </c>
      <c r="D1105" s="2">
        <v>26</v>
      </c>
      <c r="E1105" s="2">
        <v>93</v>
      </c>
      <c r="F1105" s="2">
        <v>2</v>
      </c>
      <c r="G1105" s="2">
        <v>2</v>
      </c>
      <c r="H1105" s="2">
        <v>7</v>
      </c>
      <c r="I1105" s="2">
        <v>0</v>
      </c>
      <c r="J1105" t="str">
        <f>_xlfn.XLOOKUP(Table2[[#This Row],[Customer_ID]],Table1[Customer_ID],Table1[Customer_Name])</f>
        <v>Cyndy Collie</v>
      </c>
    </row>
    <row r="1106" spans="1:10" x14ac:dyDescent="0.35">
      <c r="A1106" s="4">
        <v>40426</v>
      </c>
      <c r="B1106" s="2">
        <v>10273</v>
      </c>
      <c r="C1106" s="2">
        <v>369</v>
      </c>
      <c r="D1106" s="2">
        <v>26</v>
      </c>
      <c r="E1106" s="2">
        <v>93</v>
      </c>
      <c r="F1106" s="2">
        <v>2</v>
      </c>
      <c r="G1106" s="2">
        <v>5</v>
      </c>
      <c r="H1106" s="2">
        <v>6</v>
      </c>
      <c r="I1106" s="2">
        <v>0</v>
      </c>
      <c r="J1106" t="str">
        <f>_xlfn.XLOOKUP(Table2[[#This Row],[Customer_ID]],Table1[Customer_ID],Table1[Customer_Name])</f>
        <v>Cyndy Collie</v>
      </c>
    </row>
    <row r="1107" spans="1:10" x14ac:dyDescent="0.35">
      <c r="A1107" s="4">
        <v>40428</v>
      </c>
      <c r="B1107" s="2">
        <v>10275</v>
      </c>
      <c r="C1107" s="2">
        <v>90</v>
      </c>
      <c r="D1107" s="2">
        <v>28</v>
      </c>
      <c r="E1107" s="2">
        <v>25</v>
      </c>
      <c r="F1107" s="2">
        <v>2</v>
      </c>
      <c r="G1107" s="2">
        <v>8</v>
      </c>
      <c r="H1107" s="2">
        <v>670</v>
      </c>
      <c r="I1107" s="2">
        <v>0</v>
      </c>
      <c r="J1107" t="str">
        <f>_xlfn.XLOOKUP(Table2[[#This Row],[Customer_ID]],Table1[Customer_ID],Table1[Customer_Name])</f>
        <v>Delena Hulin</v>
      </c>
    </row>
    <row r="1108" spans="1:10" x14ac:dyDescent="0.35">
      <c r="A1108" s="4">
        <v>40428</v>
      </c>
      <c r="B1108" s="2">
        <v>10275</v>
      </c>
      <c r="C1108" s="2">
        <v>102</v>
      </c>
      <c r="D1108" s="2">
        <v>28</v>
      </c>
      <c r="E1108" s="2">
        <v>25</v>
      </c>
      <c r="F1108" s="2">
        <v>2</v>
      </c>
      <c r="G1108" s="2">
        <v>5</v>
      </c>
      <c r="H1108" s="2">
        <v>495</v>
      </c>
      <c r="I1108" s="2">
        <v>0</v>
      </c>
      <c r="J1108" t="str">
        <f>_xlfn.XLOOKUP(Table2[[#This Row],[Customer_ID]],Table1[Customer_ID],Table1[Customer_Name])</f>
        <v>Delena Hulin</v>
      </c>
    </row>
    <row r="1109" spans="1:10" x14ac:dyDescent="0.35">
      <c r="A1109" s="4">
        <v>40430</v>
      </c>
      <c r="B1109" s="2">
        <v>10277</v>
      </c>
      <c r="C1109" s="2">
        <v>92</v>
      </c>
      <c r="D1109" s="2">
        <v>30</v>
      </c>
      <c r="E1109" s="2">
        <v>33</v>
      </c>
      <c r="F1109" s="2">
        <v>2</v>
      </c>
      <c r="G1109" s="2">
        <v>3</v>
      </c>
      <c r="H1109" s="2">
        <v>632</v>
      </c>
      <c r="I1109" s="2">
        <v>0</v>
      </c>
      <c r="J1109" t="str">
        <f>_xlfn.XLOOKUP(Table2[[#This Row],[Customer_ID]],Table1[Customer_ID],Table1[Customer_Name])</f>
        <v>Dinah Trusty</v>
      </c>
    </row>
    <row r="1110" spans="1:10" x14ac:dyDescent="0.35">
      <c r="A1110" s="4">
        <v>40430</v>
      </c>
      <c r="B1110" s="2">
        <v>10277</v>
      </c>
      <c r="C1110" s="2">
        <v>97</v>
      </c>
      <c r="D1110" s="2">
        <v>30</v>
      </c>
      <c r="E1110" s="2">
        <v>33</v>
      </c>
      <c r="F1110" s="2">
        <v>2</v>
      </c>
      <c r="G1110" s="2">
        <v>2</v>
      </c>
      <c r="H1110" s="2">
        <v>888</v>
      </c>
      <c r="I1110" s="2">
        <v>0</v>
      </c>
      <c r="J1110" t="str">
        <f>_xlfn.XLOOKUP(Table2[[#This Row],[Customer_ID]],Table1[Customer_ID],Table1[Customer_Name])</f>
        <v>Dinah Trusty</v>
      </c>
    </row>
    <row r="1111" spans="1:10" x14ac:dyDescent="0.35">
      <c r="A1111" s="4">
        <v>40434</v>
      </c>
      <c r="B1111" s="2">
        <v>10279</v>
      </c>
      <c r="C1111" s="2">
        <v>93</v>
      </c>
      <c r="D1111" s="2">
        <v>32</v>
      </c>
      <c r="E1111" s="2">
        <v>35</v>
      </c>
      <c r="F1111" s="2">
        <v>2</v>
      </c>
      <c r="G1111" s="2">
        <v>1</v>
      </c>
      <c r="H1111" s="2">
        <v>712</v>
      </c>
      <c r="I1111" s="2">
        <v>0</v>
      </c>
      <c r="J1111" t="str">
        <f>_xlfn.XLOOKUP(Table2[[#This Row],[Customer_ID]],Table1[Customer_ID],Table1[Customer_Name])</f>
        <v>Doretha Mcmunn</v>
      </c>
    </row>
    <row r="1112" spans="1:10" x14ac:dyDescent="0.35">
      <c r="A1112" s="4">
        <v>40435</v>
      </c>
      <c r="B1112" s="2">
        <v>10281</v>
      </c>
      <c r="C1112" s="2">
        <v>445</v>
      </c>
      <c r="D1112" s="2">
        <v>34</v>
      </c>
      <c r="E1112" s="2">
        <v>96</v>
      </c>
      <c r="F1112" s="2">
        <v>2</v>
      </c>
      <c r="G1112" s="2">
        <v>1</v>
      </c>
      <c r="H1112" s="2">
        <v>46</v>
      </c>
      <c r="I1112" s="2">
        <v>0</v>
      </c>
      <c r="J1112" t="str">
        <f>_xlfn.XLOOKUP(Table2[[#This Row],[Customer_ID]],Table1[Customer_ID],Table1[Customer_Name])</f>
        <v>Duane Dopp</v>
      </c>
    </row>
    <row r="1113" spans="1:10" x14ac:dyDescent="0.35">
      <c r="A1113" s="4">
        <v>40435</v>
      </c>
      <c r="B1113" s="2">
        <v>10281</v>
      </c>
      <c r="C1113" s="2">
        <v>430</v>
      </c>
      <c r="D1113" s="2">
        <v>34</v>
      </c>
      <c r="E1113" s="2">
        <v>96</v>
      </c>
      <c r="F1113" s="2">
        <v>2</v>
      </c>
      <c r="G1113" s="2">
        <v>2</v>
      </c>
      <c r="H1113" s="2">
        <v>18</v>
      </c>
      <c r="I1113" s="2">
        <v>0</v>
      </c>
      <c r="J1113" t="str">
        <f>_xlfn.XLOOKUP(Table2[[#This Row],[Customer_ID]],Table1[Customer_ID],Table1[Customer_Name])</f>
        <v>Duane Dopp</v>
      </c>
    </row>
    <row r="1114" spans="1:10" x14ac:dyDescent="0.35">
      <c r="A1114" s="4">
        <v>40435</v>
      </c>
      <c r="B1114" s="2">
        <v>10281</v>
      </c>
      <c r="C1114" s="2">
        <v>423</v>
      </c>
      <c r="D1114" s="2">
        <v>34</v>
      </c>
      <c r="E1114" s="2">
        <v>96</v>
      </c>
      <c r="F1114" s="2">
        <v>2</v>
      </c>
      <c r="G1114" s="2">
        <v>1</v>
      </c>
      <c r="H1114" s="2">
        <v>18</v>
      </c>
      <c r="I1114" s="2">
        <v>0</v>
      </c>
      <c r="J1114" t="str">
        <f>_xlfn.XLOOKUP(Table2[[#This Row],[Customer_ID]],Table1[Customer_ID],Table1[Customer_Name])</f>
        <v>Duane Dopp</v>
      </c>
    </row>
    <row r="1115" spans="1:10" x14ac:dyDescent="0.35">
      <c r="A1115" s="4">
        <v>40437</v>
      </c>
      <c r="B1115" s="2">
        <v>10283</v>
      </c>
      <c r="C1115" s="2">
        <v>455</v>
      </c>
      <c r="D1115" s="2">
        <v>36</v>
      </c>
      <c r="E1115" s="2">
        <v>54</v>
      </c>
      <c r="F1115" s="2">
        <v>2</v>
      </c>
      <c r="G1115" s="2">
        <v>2</v>
      </c>
      <c r="H1115" s="2">
        <v>20</v>
      </c>
      <c r="I1115" s="2">
        <v>0</v>
      </c>
      <c r="J1115" t="str">
        <f>_xlfn.XLOOKUP(Table2[[#This Row],[Customer_ID]],Table1[Customer_ID],Table1[Customer_Name])</f>
        <v>Earnestine Heidenreich</v>
      </c>
    </row>
    <row r="1116" spans="1:10" x14ac:dyDescent="0.35">
      <c r="A1116" s="4">
        <v>40437</v>
      </c>
      <c r="B1116" s="2">
        <v>10283</v>
      </c>
      <c r="C1116" s="2">
        <v>434</v>
      </c>
      <c r="D1116" s="2">
        <v>36</v>
      </c>
      <c r="E1116" s="2">
        <v>54</v>
      </c>
      <c r="F1116" s="2">
        <v>2</v>
      </c>
      <c r="G1116" s="2">
        <v>7</v>
      </c>
      <c r="H1116" s="2">
        <v>24</v>
      </c>
      <c r="I1116" s="2">
        <v>0</v>
      </c>
      <c r="J1116" t="str">
        <f>_xlfn.XLOOKUP(Table2[[#This Row],[Customer_ID]],Table1[Customer_ID],Table1[Customer_Name])</f>
        <v>Earnestine Heidenreich</v>
      </c>
    </row>
    <row r="1117" spans="1:10" x14ac:dyDescent="0.35">
      <c r="A1117" s="4">
        <v>40437</v>
      </c>
      <c r="B1117" s="2">
        <v>10283</v>
      </c>
      <c r="C1117" s="2">
        <v>448</v>
      </c>
      <c r="D1117" s="2">
        <v>36</v>
      </c>
      <c r="E1117" s="2">
        <v>54</v>
      </c>
      <c r="F1117" s="2">
        <v>2</v>
      </c>
      <c r="G1117" s="2">
        <v>6</v>
      </c>
      <c r="H1117" s="2">
        <v>47</v>
      </c>
      <c r="I1117" s="2">
        <v>0</v>
      </c>
      <c r="J1117" t="str">
        <f>_xlfn.XLOOKUP(Table2[[#This Row],[Customer_ID]],Table1[Customer_ID],Table1[Customer_Name])</f>
        <v>Earnestine Heidenreich</v>
      </c>
    </row>
    <row r="1118" spans="1:10" x14ac:dyDescent="0.35">
      <c r="A1118" s="4">
        <v>40437</v>
      </c>
      <c r="B1118" s="2">
        <v>10283</v>
      </c>
      <c r="C1118" s="2">
        <v>427</v>
      </c>
      <c r="D1118" s="2">
        <v>36</v>
      </c>
      <c r="E1118" s="2">
        <v>54</v>
      </c>
      <c r="F1118" s="2">
        <v>2</v>
      </c>
      <c r="G1118" s="2">
        <v>3</v>
      </c>
      <c r="H1118" s="2">
        <v>18</v>
      </c>
      <c r="I1118" s="2">
        <v>0</v>
      </c>
      <c r="J1118" t="str">
        <f>_xlfn.XLOOKUP(Table2[[#This Row],[Customer_ID]],Table1[Customer_ID],Table1[Customer_Name])</f>
        <v>Earnestine Heidenreich</v>
      </c>
    </row>
    <row r="1119" spans="1:10" x14ac:dyDescent="0.35">
      <c r="A1119" s="4">
        <v>40441</v>
      </c>
      <c r="B1119" s="2">
        <v>10285</v>
      </c>
      <c r="C1119" s="2">
        <v>60</v>
      </c>
      <c r="D1119" s="2">
        <v>38</v>
      </c>
      <c r="E1119" s="2">
        <v>60</v>
      </c>
      <c r="F1119" s="2">
        <v>2</v>
      </c>
      <c r="G1119" s="2">
        <v>1</v>
      </c>
      <c r="H1119" s="2">
        <v>4</v>
      </c>
      <c r="I1119" s="2">
        <v>0</v>
      </c>
      <c r="J1119" t="str">
        <f>_xlfn.XLOOKUP(Table2[[#This Row],[Customer_ID]],Table1[Customer_ID],Table1[Customer_Name])</f>
        <v>Edison Littell</v>
      </c>
    </row>
    <row r="1120" spans="1:10" x14ac:dyDescent="0.35">
      <c r="A1120" s="4">
        <v>40441</v>
      </c>
      <c r="B1120" s="2">
        <v>10285</v>
      </c>
      <c r="C1120" s="2">
        <v>64</v>
      </c>
      <c r="D1120" s="2">
        <v>38</v>
      </c>
      <c r="E1120" s="2">
        <v>60</v>
      </c>
      <c r="F1120" s="2">
        <v>2</v>
      </c>
      <c r="G1120" s="2">
        <v>5</v>
      </c>
      <c r="H1120" s="2">
        <v>6</v>
      </c>
      <c r="I1120" s="2">
        <v>0</v>
      </c>
      <c r="J1120" t="str">
        <f>_xlfn.XLOOKUP(Table2[[#This Row],[Customer_ID]],Table1[Customer_ID],Table1[Customer_Name])</f>
        <v>Edison Littell</v>
      </c>
    </row>
    <row r="1121" spans="1:10" x14ac:dyDescent="0.35">
      <c r="A1121" s="4">
        <v>40441</v>
      </c>
      <c r="B1121" s="2">
        <v>10285</v>
      </c>
      <c r="C1121" s="2">
        <v>61</v>
      </c>
      <c r="D1121" s="2">
        <v>38</v>
      </c>
      <c r="E1121" s="2">
        <v>60</v>
      </c>
      <c r="F1121" s="2">
        <v>2</v>
      </c>
      <c r="G1121" s="2">
        <v>2</v>
      </c>
      <c r="H1121" s="2">
        <v>4</v>
      </c>
      <c r="I1121" s="2">
        <v>0</v>
      </c>
      <c r="J1121" t="str">
        <f>_xlfn.XLOOKUP(Table2[[#This Row],[Customer_ID]],Table1[Customer_ID],Table1[Customer_Name])</f>
        <v>Edison Littell</v>
      </c>
    </row>
    <row r="1122" spans="1:10" x14ac:dyDescent="0.35">
      <c r="A1122" s="4">
        <v>40443</v>
      </c>
      <c r="B1122" s="2">
        <v>10287</v>
      </c>
      <c r="C1122" s="2">
        <v>192</v>
      </c>
      <c r="D1122" s="2">
        <v>40</v>
      </c>
      <c r="E1122" s="2">
        <v>16</v>
      </c>
      <c r="F1122" s="2">
        <v>2</v>
      </c>
      <c r="G1122" s="2">
        <v>15</v>
      </c>
      <c r="H1122" s="2">
        <v>10</v>
      </c>
      <c r="I1122" s="2">
        <v>0</v>
      </c>
      <c r="J1122" t="str">
        <f>_xlfn.XLOOKUP(Table2[[#This Row],[Customer_ID]],Table1[Customer_ID],Table1[Customer_Name])</f>
        <v>Eleonora Eddinger</v>
      </c>
    </row>
    <row r="1123" spans="1:10" x14ac:dyDescent="0.35">
      <c r="A1123" s="4">
        <v>40443</v>
      </c>
      <c r="B1123" s="2">
        <v>10287</v>
      </c>
      <c r="C1123" s="2">
        <v>331</v>
      </c>
      <c r="D1123" s="2">
        <v>40</v>
      </c>
      <c r="E1123" s="2">
        <v>16</v>
      </c>
      <c r="F1123" s="2">
        <v>2</v>
      </c>
      <c r="G1123" s="2">
        <v>5</v>
      </c>
      <c r="H1123" s="2">
        <v>11</v>
      </c>
      <c r="I1123" s="2">
        <v>0</v>
      </c>
      <c r="J1123" t="str">
        <f>_xlfn.XLOOKUP(Table2[[#This Row],[Customer_ID]],Table1[Customer_ID],Table1[Customer_Name])</f>
        <v>Eleonora Eddinger</v>
      </c>
    </row>
    <row r="1124" spans="1:10" x14ac:dyDescent="0.35">
      <c r="A1124" s="4">
        <v>40443</v>
      </c>
      <c r="B1124" s="2">
        <v>10287</v>
      </c>
      <c r="C1124" s="2">
        <v>62</v>
      </c>
      <c r="D1124" s="2">
        <v>40</v>
      </c>
      <c r="E1124" s="2">
        <v>16</v>
      </c>
      <c r="F1124" s="2">
        <v>2</v>
      </c>
      <c r="G1124" s="2">
        <v>2</v>
      </c>
      <c r="H1124" s="2">
        <v>6</v>
      </c>
      <c r="I1124" s="2">
        <v>0</v>
      </c>
      <c r="J1124" t="str">
        <f>_xlfn.XLOOKUP(Table2[[#This Row],[Customer_ID]],Table1[Customer_ID],Table1[Customer_Name])</f>
        <v>Eleonora Eddinger</v>
      </c>
    </row>
    <row r="1125" spans="1:10" x14ac:dyDescent="0.35">
      <c r="A1125" s="4">
        <v>40447</v>
      </c>
      <c r="B1125" s="2">
        <v>10289</v>
      </c>
      <c r="C1125" s="2">
        <v>443</v>
      </c>
      <c r="D1125" s="2">
        <v>42</v>
      </c>
      <c r="E1125" s="2">
        <v>84</v>
      </c>
      <c r="F1125" s="2">
        <v>2</v>
      </c>
      <c r="G1125" s="2">
        <v>5</v>
      </c>
      <c r="H1125" s="2">
        <v>19</v>
      </c>
      <c r="I1125" s="2">
        <v>0</v>
      </c>
      <c r="J1125" t="str">
        <f>_xlfn.XLOOKUP(Table2[[#This Row],[Customer_ID]],Table1[Customer_ID],Table1[Customer_Name])</f>
        <v>Eliseo Mangual</v>
      </c>
    </row>
    <row r="1126" spans="1:10" x14ac:dyDescent="0.35">
      <c r="A1126" s="4">
        <v>40447</v>
      </c>
      <c r="B1126" s="2">
        <v>10289</v>
      </c>
      <c r="C1126" s="2">
        <v>449</v>
      </c>
      <c r="D1126" s="2">
        <v>42</v>
      </c>
      <c r="E1126" s="2">
        <v>84</v>
      </c>
      <c r="F1126" s="2">
        <v>2</v>
      </c>
      <c r="G1126" s="2">
        <v>8</v>
      </c>
      <c r="H1126" s="2">
        <v>19</v>
      </c>
      <c r="I1126" s="2">
        <v>0</v>
      </c>
      <c r="J1126" t="str">
        <f>_xlfn.XLOOKUP(Table2[[#This Row],[Customer_ID]],Table1[Customer_ID],Table1[Customer_Name])</f>
        <v>Eliseo Mangual</v>
      </c>
    </row>
    <row r="1127" spans="1:10" x14ac:dyDescent="0.35">
      <c r="A1127" s="4">
        <v>40448</v>
      </c>
      <c r="B1127" s="2">
        <v>10291</v>
      </c>
      <c r="C1127" s="2">
        <v>226</v>
      </c>
      <c r="D1127" s="2">
        <v>44</v>
      </c>
      <c r="E1127" s="2">
        <v>11</v>
      </c>
      <c r="F1127" s="2">
        <v>2</v>
      </c>
      <c r="G1127" s="2">
        <v>2</v>
      </c>
      <c r="H1127" s="2">
        <v>4</v>
      </c>
      <c r="I1127" s="2">
        <v>0</v>
      </c>
      <c r="J1127" t="str">
        <f>_xlfn.XLOOKUP(Table2[[#This Row],[Customer_ID]],Table1[Customer_ID],Table1[Customer_Name])</f>
        <v>Eura Gordan</v>
      </c>
    </row>
    <row r="1128" spans="1:10" x14ac:dyDescent="0.35">
      <c r="A1128" s="4">
        <v>40448</v>
      </c>
      <c r="B1128" s="2">
        <v>10291</v>
      </c>
      <c r="C1128" s="2">
        <v>214</v>
      </c>
      <c r="D1128" s="2">
        <v>44</v>
      </c>
      <c r="E1128" s="2">
        <v>11</v>
      </c>
      <c r="F1128" s="2">
        <v>2</v>
      </c>
      <c r="G1128" s="2">
        <v>5</v>
      </c>
      <c r="H1128" s="2">
        <v>7</v>
      </c>
      <c r="I1128" s="2">
        <v>0</v>
      </c>
      <c r="J1128" t="str">
        <f>_xlfn.XLOOKUP(Table2[[#This Row],[Customer_ID]],Table1[Customer_ID],Table1[Customer_Name])</f>
        <v>Eura Gordan</v>
      </c>
    </row>
    <row r="1129" spans="1:10" x14ac:dyDescent="0.35">
      <c r="A1129" s="4">
        <v>40448</v>
      </c>
      <c r="B1129" s="2">
        <v>10291</v>
      </c>
      <c r="C1129" s="2">
        <v>189</v>
      </c>
      <c r="D1129" s="2">
        <v>44</v>
      </c>
      <c r="E1129" s="2">
        <v>11</v>
      </c>
      <c r="F1129" s="2">
        <v>2</v>
      </c>
      <c r="G1129" s="2">
        <v>2</v>
      </c>
      <c r="H1129" s="2">
        <v>9</v>
      </c>
      <c r="I1129" s="2">
        <v>0</v>
      </c>
      <c r="J1129" t="str">
        <f>_xlfn.XLOOKUP(Table2[[#This Row],[Customer_ID]],Table1[Customer_ID],Table1[Customer_Name])</f>
        <v>Eura Gordan</v>
      </c>
    </row>
    <row r="1130" spans="1:10" x14ac:dyDescent="0.35">
      <c r="A1130" s="4">
        <v>40450</v>
      </c>
      <c r="B1130" s="2">
        <v>10293</v>
      </c>
      <c r="C1130" s="2">
        <v>296</v>
      </c>
      <c r="D1130" s="2">
        <v>46</v>
      </c>
      <c r="E1130" s="2">
        <v>1</v>
      </c>
      <c r="F1130" s="2">
        <v>2</v>
      </c>
      <c r="G1130" s="2">
        <v>5</v>
      </c>
      <c r="H1130" s="2">
        <v>3</v>
      </c>
      <c r="I1130" s="2">
        <v>0</v>
      </c>
      <c r="J1130" t="str">
        <f>_xlfn.XLOOKUP(Table2[[#This Row],[Customer_ID]],Table1[Customer_ID],Table1[Customer_Name])</f>
        <v>Fay Cumbo</v>
      </c>
    </row>
    <row r="1131" spans="1:10" x14ac:dyDescent="0.35">
      <c r="A1131" s="4">
        <v>40450</v>
      </c>
      <c r="B1131" s="2">
        <v>10293</v>
      </c>
      <c r="C1131" s="2">
        <v>419</v>
      </c>
      <c r="D1131" s="2">
        <v>46</v>
      </c>
      <c r="E1131" s="2">
        <v>1</v>
      </c>
      <c r="F1131" s="2">
        <v>2</v>
      </c>
      <c r="G1131" s="2">
        <v>5</v>
      </c>
      <c r="H1131" s="2">
        <v>13</v>
      </c>
      <c r="I1131" s="2">
        <v>0</v>
      </c>
      <c r="J1131" t="str">
        <f>_xlfn.XLOOKUP(Table2[[#This Row],[Customer_ID]],Table1[Customer_ID],Table1[Customer_Name])</f>
        <v>Fay Cumbo</v>
      </c>
    </row>
    <row r="1132" spans="1:10" x14ac:dyDescent="0.35">
      <c r="A1132" s="4">
        <v>40450</v>
      </c>
      <c r="B1132" s="2">
        <v>10293</v>
      </c>
      <c r="C1132" s="2">
        <v>454</v>
      </c>
      <c r="D1132" s="2">
        <v>46</v>
      </c>
      <c r="E1132" s="2">
        <v>1</v>
      </c>
      <c r="F1132" s="2">
        <v>2</v>
      </c>
      <c r="G1132" s="2">
        <v>6</v>
      </c>
      <c r="H1132" s="2">
        <v>22</v>
      </c>
      <c r="I1132" s="2">
        <v>0</v>
      </c>
      <c r="J1132" t="str">
        <f>_xlfn.XLOOKUP(Table2[[#This Row],[Customer_ID]],Table1[Customer_ID],Table1[Customer_Name])</f>
        <v>Fay Cumbo</v>
      </c>
    </row>
    <row r="1133" spans="1:10" x14ac:dyDescent="0.35">
      <c r="A1133" s="4">
        <v>40450</v>
      </c>
      <c r="B1133" s="2">
        <v>10293</v>
      </c>
      <c r="C1133" s="2">
        <v>300</v>
      </c>
      <c r="D1133" s="2">
        <v>46</v>
      </c>
      <c r="E1133" s="2">
        <v>1</v>
      </c>
      <c r="F1133" s="2">
        <v>2</v>
      </c>
      <c r="G1133" s="2">
        <v>4</v>
      </c>
      <c r="H1133" s="2">
        <v>19</v>
      </c>
      <c r="I1133" s="2">
        <v>0</v>
      </c>
      <c r="J1133" t="str">
        <f>_xlfn.XLOOKUP(Table2[[#This Row],[Customer_ID]],Table1[Customer_ID],Table1[Customer_Name])</f>
        <v>Fay Cumbo</v>
      </c>
    </row>
    <row r="1134" spans="1:10" x14ac:dyDescent="0.35">
      <c r="A1134" s="4">
        <v>40454</v>
      </c>
      <c r="B1134" s="2">
        <v>10295</v>
      </c>
      <c r="C1134" s="2">
        <v>212</v>
      </c>
      <c r="D1134" s="2">
        <v>48</v>
      </c>
      <c r="E1134" s="2">
        <v>18</v>
      </c>
      <c r="F1134" s="2">
        <v>2</v>
      </c>
      <c r="G1134" s="2">
        <v>2</v>
      </c>
      <c r="H1134" s="2">
        <v>32</v>
      </c>
      <c r="I1134" s="2">
        <v>0</v>
      </c>
      <c r="J1134" t="str">
        <f>_xlfn.XLOOKUP(Table2[[#This Row],[Customer_ID]],Table1[Customer_ID],Table1[Customer_Name])</f>
        <v>Federico Flores</v>
      </c>
    </row>
    <row r="1135" spans="1:10" x14ac:dyDescent="0.35">
      <c r="A1135" s="4">
        <v>40456</v>
      </c>
      <c r="B1135" s="2">
        <v>10297</v>
      </c>
      <c r="C1135" s="2">
        <v>306</v>
      </c>
      <c r="D1135" s="2">
        <v>50</v>
      </c>
      <c r="E1135" s="2">
        <v>81</v>
      </c>
      <c r="F1135" s="2">
        <v>2</v>
      </c>
      <c r="G1135" s="2">
        <v>2</v>
      </c>
      <c r="H1135" s="2">
        <v>9</v>
      </c>
      <c r="I1135" s="2">
        <v>0</v>
      </c>
      <c r="J1135" t="str">
        <f>_xlfn.XLOOKUP(Table2[[#This Row],[Customer_ID]],Table1[Customer_ID],Table1[Customer_Name])</f>
        <v>Gia Junkin</v>
      </c>
    </row>
    <row r="1136" spans="1:10" x14ac:dyDescent="0.35">
      <c r="A1136" s="4">
        <v>40456</v>
      </c>
      <c r="B1136" s="2">
        <v>10297</v>
      </c>
      <c r="C1136" s="2">
        <v>256</v>
      </c>
      <c r="D1136" s="2">
        <v>50</v>
      </c>
      <c r="E1136" s="2">
        <v>81</v>
      </c>
      <c r="F1136" s="2">
        <v>2</v>
      </c>
      <c r="G1136" s="2">
        <v>5</v>
      </c>
      <c r="H1136" s="2">
        <v>5</v>
      </c>
      <c r="I1136" s="2">
        <v>0</v>
      </c>
      <c r="J1136" t="str">
        <f>_xlfn.XLOOKUP(Table2[[#This Row],[Customer_ID]],Table1[Customer_ID],Table1[Customer_Name])</f>
        <v>Gia Junkin</v>
      </c>
    </row>
    <row r="1137" spans="1:10" x14ac:dyDescent="0.35">
      <c r="A1137" s="4">
        <v>40458</v>
      </c>
      <c r="B1137" s="2">
        <v>10299</v>
      </c>
      <c r="C1137" s="2">
        <v>366</v>
      </c>
      <c r="D1137" s="2">
        <v>52</v>
      </c>
      <c r="E1137" s="2">
        <v>32</v>
      </c>
      <c r="F1137" s="2">
        <v>2</v>
      </c>
      <c r="G1137" s="2">
        <v>4</v>
      </c>
      <c r="H1137" s="2">
        <v>7</v>
      </c>
      <c r="I1137" s="2">
        <v>0</v>
      </c>
      <c r="J1137" t="str">
        <f>_xlfn.XLOOKUP(Table2[[#This Row],[Customer_ID]],Table1[Customer_ID],Table1[Customer_Name])</f>
        <v>Glennis Going</v>
      </c>
    </row>
    <row r="1138" spans="1:10" x14ac:dyDescent="0.35">
      <c r="A1138" s="4">
        <v>40458</v>
      </c>
      <c r="B1138" s="2">
        <v>10299</v>
      </c>
      <c r="C1138" s="2">
        <v>305</v>
      </c>
      <c r="D1138" s="2">
        <v>52</v>
      </c>
      <c r="E1138" s="2">
        <v>32</v>
      </c>
      <c r="F1138" s="2">
        <v>2</v>
      </c>
      <c r="G1138" s="2">
        <v>6</v>
      </c>
      <c r="H1138" s="2">
        <v>4</v>
      </c>
      <c r="I1138" s="2">
        <v>0</v>
      </c>
      <c r="J1138" t="str">
        <f>_xlfn.XLOOKUP(Table2[[#This Row],[Customer_ID]],Table1[Customer_ID],Table1[Customer_Name])</f>
        <v>Glennis Going</v>
      </c>
    </row>
    <row r="1139" spans="1:10" x14ac:dyDescent="0.35">
      <c r="A1139" s="4">
        <v>40461</v>
      </c>
      <c r="B1139" s="2">
        <v>10301</v>
      </c>
      <c r="C1139" s="2">
        <v>363</v>
      </c>
      <c r="D1139" s="2">
        <v>54</v>
      </c>
      <c r="E1139" s="2">
        <v>42</v>
      </c>
      <c r="F1139" s="2">
        <v>2</v>
      </c>
      <c r="G1139" s="2">
        <v>5</v>
      </c>
      <c r="H1139" s="2">
        <v>2</v>
      </c>
      <c r="I1139" s="2">
        <v>0</v>
      </c>
      <c r="J1139" t="str">
        <f>_xlfn.XLOOKUP(Table2[[#This Row],[Customer_ID]],Table1[Customer_ID],Table1[Customer_Name])</f>
        <v>Harmony Burell</v>
      </c>
    </row>
    <row r="1140" spans="1:10" x14ac:dyDescent="0.35">
      <c r="A1140" s="4">
        <v>40461</v>
      </c>
      <c r="B1140" s="2">
        <v>10301</v>
      </c>
      <c r="C1140" s="2">
        <v>190</v>
      </c>
      <c r="D1140" s="2">
        <v>54</v>
      </c>
      <c r="E1140" s="2">
        <v>42</v>
      </c>
      <c r="F1140" s="2">
        <v>2</v>
      </c>
      <c r="G1140" s="2">
        <v>2</v>
      </c>
      <c r="H1140" s="2">
        <v>4</v>
      </c>
      <c r="I1140" s="2">
        <v>0</v>
      </c>
      <c r="J1140" t="str">
        <f>_xlfn.XLOOKUP(Table2[[#This Row],[Customer_ID]],Table1[Customer_ID],Table1[Customer_Name])</f>
        <v>Harmony Burell</v>
      </c>
    </row>
    <row r="1141" spans="1:10" x14ac:dyDescent="0.35">
      <c r="A1141" s="4">
        <v>40463</v>
      </c>
      <c r="B1141" s="2">
        <v>10303</v>
      </c>
      <c r="C1141" s="2">
        <v>328</v>
      </c>
      <c r="D1141" s="2">
        <v>56</v>
      </c>
      <c r="E1141" s="2">
        <v>50</v>
      </c>
      <c r="F1141" s="2">
        <v>2</v>
      </c>
      <c r="G1141" s="2">
        <v>5</v>
      </c>
      <c r="H1141" s="2">
        <v>46</v>
      </c>
      <c r="I1141" s="2">
        <v>0</v>
      </c>
      <c r="J1141" t="str">
        <f>_xlfn.XLOOKUP(Table2[[#This Row],[Customer_ID]],Table1[Customer_ID],Table1[Customer_Name])</f>
        <v>Hsiu Hinrichs</v>
      </c>
    </row>
    <row r="1142" spans="1:10" x14ac:dyDescent="0.35">
      <c r="A1142" s="4">
        <v>40463</v>
      </c>
      <c r="B1142" s="2">
        <v>10303</v>
      </c>
      <c r="C1142" s="2">
        <v>227</v>
      </c>
      <c r="D1142" s="2">
        <v>56</v>
      </c>
      <c r="E1142" s="2">
        <v>50</v>
      </c>
      <c r="F1142" s="2">
        <v>2</v>
      </c>
      <c r="G1142" s="2">
        <v>2</v>
      </c>
      <c r="H1142" s="2">
        <v>4</v>
      </c>
      <c r="I1142" s="2">
        <v>0</v>
      </c>
      <c r="J1142" t="str">
        <f>_xlfn.XLOOKUP(Table2[[#This Row],[Customer_ID]],Table1[Customer_ID],Table1[Customer_Name])</f>
        <v>Hsiu Hinrichs</v>
      </c>
    </row>
    <row r="1143" spans="1:10" x14ac:dyDescent="0.35">
      <c r="A1143" s="4">
        <v>40463</v>
      </c>
      <c r="B1143" s="2">
        <v>10303</v>
      </c>
      <c r="C1143" s="2">
        <v>285</v>
      </c>
      <c r="D1143" s="2">
        <v>56</v>
      </c>
      <c r="E1143" s="2">
        <v>50</v>
      </c>
      <c r="F1143" s="2">
        <v>2</v>
      </c>
      <c r="G1143" s="2">
        <v>2</v>
      </c>
      <c r="H1143" s="2">
        <v>5</v>
      </c>
      <c r="I1143" s="2">
        <v>0</v>
      </c>
      <c r="J1143" t="str">
        <f>_xlfn.XLOOKUP(Table2[[#This Row],[Customer_ID]],Table1[Customer_ID],Table1[Customer_Name])</f>
        <v>Hsiu Hinrichs</v>
      </c>
    </row>
    <row r="1144" spans="1:10" x14ac:dyDescent="0.35">
      <c r="A1144" s="4">
        <v>40465</v>
      </c>
      <c r="B1144" s="2">
        <v>10305</v>
      </c>
      <c r="C1144" s="2">
        <v>240</v>
      </c>
      <c r="D1144" s="2">
        <v>58</v>
      </c>
      <c r="E1144" s="2">
        <v>40</v>
      </c>
      <c r="F1144" s="2">
        <v>2</v>
      </c>
      <c r="G1144" s="2">
        <v>3</v>
      </c>
      <c r="H1144" s="2">
        <v>26</v>
      </c>
      <c r="I1144" s="2">
        <v>0</v>
      </c>
      <c r="J1144" t="str">
        <f>_xlfn.XLOOKUP(Table2[[#This Row],[Customer_ID]],Table1[Customer_ID],Table1[Customer_Name])</f>
        <v>Isis Isom</v>
      </c>
    </row>
    <row r="1145" spans="1:10" x14ac:dyDescent="0.35">
      <c r="A1145" s="4">
        <v>40465</v>
      </c>
      <c r="B1145" s="2">
        <v>10305</v>
      </c>
      <c r="C1145" s="2">
        <v>109</v>
      </c>
      <c r="D1145" s="2">
        <v>58</v>
      </c>
      <c r="E1145" s="2">
        <v>40</v>
      </c>
      <c r="F1145" s="2">
        <v>2</v>
      </c>
      <c r="G1145" s="2">
        <v>1</v>
      </c>
      <c r="H1145" s="2">
        <v>377</v>
      </c>
      <c r="I1145" s="2">
        <v>0</v>
      </c>
      <c r="J1145" t="str">
        <f>_xlfn.XLOOKUP(Table2[[#This Row],[Customer_ID]],Table1[Customer_ID],Table1[Customer_Name])</f>
        <v>Isis Isom</v>
      </c>
    </row>
    <row r="1146" spans="1:10" x14ac:dyDescent="0.35">
      <c r="A1146" s="4">
        <v>40465</v>
      </c>
      <c r="B1146" s="2">
        <v>10305</v>
      </c>
      <c r="C1146" s="2">
        <v>342</v>
      </c>
      <c r="D1146" s="2">
        <v>58</v>
      </c>
      <c r="E1146" s="2">
        <v>40</v>
      </c>
      <c r="F1146" s="2">
        <v>2</v>
      </c>
      <c r="G1146" s="2">
        <v>8</v>
      </c>
      <c r="H1146" s="2">
        <v>4</v>
      </c>
      <c r="I1146" s="2">
        <v>0</v>
      </c>
      <c r="J1146" t="str">
        <f>_xlfn.XLOOKUP(Table2[[#This Row],[Customer_ID]],Table1[Customer_ID],Table1[Customer_Name])</f>
        <v>Isis Isom</v>
      </c>
    </row>
    <row r="1147" spans="1:10" x14ac:dyDescent="0.35">
      <c r="A1147" s="4">
        <v>40469</v>
      </c>
      <c r="B1147" s="2">
        <v>10307</v>
      </c>
      <c r="C1147" s="2">
        <v>110</v>
      </c>
      <c r="D1147" s="2">
        <v>60</v>
      </c>
      <c r="E1147" s="2">
        <v>80</v>
      </c>
      <c r="F1147" s="2">
        <v>2</v>
      </c>
      <c r="G1147" s="2">
        <v>5</v>
      </c>
      <c r="H1147" s="2">
        <v>1101</v>
      </c>
      <c r="I1147" s="2">
        <v>0</v>
      </c>
      <c r="J1147" t="str">
        <f>_xlfn.XLOOKUP(Table2[[#This Row],[Customer_ID]],Table1[Customer_ID],Table1[Customer_Name])</f>
        <v>Janetta Jhonson</v>
      </c>
    </row>
    <row r="1148" spans="1:10" x14ac:dyDescent="0.35">
      <c r="A1148" s="4">
        <v>40469</v>
      </c>
      <c r="B1148" s="2">
        <v>10307</v>
      </c>
      <c r="C1148" s="2">
        <v>112</v>
      </c>
      <c r="D1148" s="2">
        <v>60</v>
      </c>
      <c r="E1148" s="2">
        <v>80</v>
      </c>
      <c r="F1148" s="2">
        <v>2</v>
      </c>
      <c r="G1148" s="2">
        <v>2</v>
      </c>
      <c r="H1148" s="2">
        <v>493</v>
      </c>
      <c r="I1148" s="2">
        <v>0</v>
      </c>
      <c r="J1148" t="str">
        <f>_xlfn.XLOOKUP(Table2[[#This Row],[Customer_ID]],Table1[Customer_ID],Table1[Customer_Name])</f>
        <v>Janetta Jhonson</v>
      </c>
    </row>
    <row r="1149" spans="1:10" x14ac:dyDescent="0.35">
      <c r="A1149" s="4">
        <v>40471</v>
      </c>
      <c r="B1149" s="2">
        <v>10309</v>
      </c>
      <c r="C1149" s="2">
        <v>22</v>
      </c>
      <c r="D1149" s="2">
        <v>62</v>
      </c>
      <c r="E1149" s="2">
        <v>53</v>
      </c>
      <c r="F1149" s="2">
        <v>2</v>
      </c>
      <c r="G1149" s="2">
        <v>2</v>
      </c>
      <c r="H1149" s="2">
        <v>411</v>
      </c>
      <c r="I1149" s="2">
        <v>0</v>
      </c>
      <c r="J1149" t="str">
        <f>_xlfn.XLOOKUP(Table2[[#This Row],[Customer_ID]],Table1[Customer_ID],Table1[Customer_Name])</f>
        <v>Jeanine Chavez</v>
      </c>
    </row>
    <row r="1150" spans="1:10" x14ac:dyDescent="0.35">
      <c r="A1150" s="4">
        <v>40471</v>
      </c>
      <c r="B1150" s="2">
        <v>10309</v>
      </c>
      <c r="C1150" s="2">
        <v>104</v>
      </c>
      <c r="D1150" s="2">
        <v>62</v>
      </c>
      <c r="E1150" s="2">
        <v>53</v>
      </c>
      <c r="F1150" s="2">
        <v>2</v>
      </c>
      <c r="G1150" s="2">
        <v>7</v>
      </c>
      <c r="H1150" s="2">
        <v>661</v>
      </c>
      <c r="I1150" s="2">
        <v>0</v>
      </c>
      <c r="J1150" t="str">
        <f>_xlfn.XLOOKUP(Table2[[#This Row],[Customer_ID]],Table1[Customer_ID],Table1[Customer_Name])</f>
        <v>Jeanine Chavez</v>
      </c>
    </row>
    <row r="1151" spans="1:10" x14ac:dyDescent="0.35">
      <c r="A1151" s="4">
        <v>40471</v>
      </c>
      <c r="B1151" s="2">
        <v>10309</v>
      </c>
      <c r="C1151" s="2">
        <v>105</v>
      </c>
      <c r="D1151" s="2">
        <v>62</v>
      </c>
      <c r="E1151" s="2">
        <v>53</v>
      </c>
      <c r="F1151" s="2">
        <v>2</v>
      </c>
      <c r="G1151" s="2">
        <v>2</v>
      </c>
      <c r="H1151" s="2">
        <v>661</v>
      </c>
      <c r="I1151" s="2">
        <v>0</v>
      </c>
      <c r="J1151" t="str">
        <f>_xlfn.XLOOKUP(Table2[[#This Row],[Customer_ID]],Table1[Customer_ID],Table1[Customer_Name])</f>
        <v>Jeanine Chavez</v>
      </c>
    </row>
    <row r="1152" spans="1:10" x14ac:dyDescent="0.35">
      <c r="A1152" s="4">
        <v>40471</v>
      </c>
      <c r="B1152" s="2">
        <v>10309</v>
      </c>
      <c r="C1152" s="2">
        <v>26</v>
      </c>
      <c r="D1152" s="2">
        <v>62</v>
      </c>
      <c r="E1152" s="2">
        <v>53</v>
      </c>
      <c r="F1152" s="2">
        <v>2</v>
      </c>
      <c r="G1152" s="2">
        <v>2</v>
      </c>
      <c r="H1152" s="2">
        <v>252</v>
      </c>
      <c r="I1152" s="2">
        <v>0</v>
      </c>
      <c r="J1152" t="str">
        <f>_xlfn.XLOOKUP(Table2[[#This Row],[Customer_ID]],Table1[Customer_ID],Table1[Customer_Name])</f>
        <v>Jeanine Chavez</v>
      </c>
    </row>
    <row r="1153" spans="1:10" x14ac:dyDescent="0.35">
      <c r="A1153" s="4">
        <v>40471</v>
      </c>
      <c r="B1153" s="2">
        <v>10309</v>
      </c>
      <c r="C1153" s="2">
        <v>21</v>
      </c>
      <c r="D1153" s="2">
        <v>62</v>
      </c>
      <c r="E1153" s="2">
        <v>53</v>
      </c>
      <c r="F1153" s="2">
        <v>2</v>
      </c>
      <c r="G1153" s="2">
        <v>1</v>
      </c>
      <c r="H1153" s="2">
        <v>634</v>
      </c>
      <c r="I1153" s="2">
        <v>0</v>
      </c>
      <c r="J1153" t="str">
        <f>_xlfn.XLOOKUP(Table2[[#This Row],[Customer_ID]],Table1[Customer_ID],Table1[Customer_Name])</f>
        <v>Jeanine Chavez</v>
      </c>
    </row>
    <row r="1154" spans="1:10" x14ac:dyDescent="0.35">
      <c r="A1154" s="4">
        <v>40472</v>
      </c>
      <c r="B1154" s="2">
        <v>10311</v>
      </c>
      <c r="C1154" s="2">
        <v>23</v>
      </c>
      <c r="D1154" s="2">
        <v>64</v>
      </c>
      <c r="E1154" s="2">
        <v>7</v>
      </c>
      <c r="F1154" s="2">
        <v>2</v>
      </c>
      <c r="G1154" s="2">
        <v>3</v>
      </c>
      <c r="H1154" s="2">
        <v>484</v>
      </c>
      <c r="I1154" s="2">
        <v>0</v>
      </c>
      <c r="J1154" t="str">
        <f>_xlfn.XLOOKUP(Table2[[#This Row],[Customer_ID]],Table1[Customer_ID],Table1[Customer_Name])</f>
        <v>Josephine Escoto</v>
      </c>
    </row>
    <row r="1155" spans="1:10" x14ac:dyDescent="0.35">
      <c r="A1155" s="4">
        <v>40472</v>
      </c>
      <c r="B1155" s="2">
        <v>10311</v>
      </c>
      <c r="C1155" s="2">
        <v>24</v>
      </c>
      <c r="D1155" s="2">
        <v>64</v>
      </c>
      <c r="E1155" s="2">
        <v>7</v>
      </c>
      <c r="F1155" s="2">
        <v>2</v>
      </c>
      <c r="G1155" s="2">
        <v>1</v>
      </c>
      <c r="H1155" s="2">
        <v>456</v>
      </c>
      <c r="I1155" s="2">
        <v>0</v>
      </c>
      <c r="J1155" t="str">
        <f>_xlfn.XLOOKUP(Table2[[#This Row],[Customer_ID]],Table1[Customer_ID],Table1[Customer_Name])</f>
        <v>Josephine Escoto</v>
      </c>
    </row>
    <row r="1156" spans="1:10" x14ac:dyDescent="0.35">
      <c r="A1156" s="4">
        <v>40476</v>
      </c>
      <c r="B1156" s="2">
        <v>10313</v>
      </c>
      <c r="C1156" s="2">
        <v>260</v>
      </c>
      <c r="D1156" s="2">
        <v>66</v>
      </c>
      <c r="E1156" s="2">
        <v>38</v>
      </c>
      <c r="F1156" s="2">
        <v>2</v>
      </c>
      <c r="G1156" s="2">
        <v>1</v>
      </c>
      <c r="H1156" s="2">
        <v>15</v>
      </c>
      <c r="I1156" s="2">
        <v>0</v>
      </c>
      <c r="J1156" t="str">
        <f>_xlfn.XLOOKUP(Table2[[#This Row],[Customer_ID]],Table1[Customer_ID],Table1[Customer_Name])</f>
        <v>Julieta Hard</v>
      </c>
    </row>
    <row r="1157" spans="1:10" x14ac:dyDescent="0.35">
      <c r="A1157" s="4">
        <v>40478</v>
      </c>
      <c r="B1157" s="2">
        <v>10315</v>
      </c>
      <c r="C1157" s="2">
        <v>171</v>
      </c>
      <c r="D1157" s="2">
        <v>68</v>
      </c>
      <c r="E1157" s="2">
        <v>98</v>
      </c>
      <c r="F1157" s="2">
        <v>2</v>
      </c>
      <c r="G1157" s="2">
        <v>2</v>
      </c>
      <c r="H1157" s="2">
        <v>227</v>
      </c>
      <c r="I1157" s="2">
        <v>0</v>
      </c>
      <c r="J1157" t="str">
        <f>_xlfn.XLOOKUP(Table2[[#This Row],[Customer_ID]],Table1[Customer_ID],Table1[Customer_Name])</f>
        <v>Kandy Tully</v>
      </c>
    </row>
    <row r="1158" spans="1:10" x14ac:dyDescent="0.35">
      <c r="A1158" s="4">
        <v>40478</v>
      </c>
      <c r="B1158" s="2">
        <v>10315</v>
      </c>
      <c r="C1158" s="2">
        <v>233</v>
      </c>
      <c r="D1158" s="2">
        <v>68</v>
      </c>
      <c r="E1158" s="2">
        <v>98</v>
      </c>
      <c r="F1158" s="2">
        <v>2</v>
      </c>
      <c r="G1158" s="2">
        <v>1</v>
      </c>
      <c r="H1158" s="2">
        <v>3</v>
      </c>
      <c r="I1158" s="2">
        <v>0</v>
      </c>
      <c r="J1158" t="str">
        <f>_xlfn.XLOOKUP(Table2[[#This Row],[Customer_ID]],Table1[Customer_ID],Table1[Customer_Name])</f>
        <v>Kandy Tully</v>
      </c>
    </row>
    <row r="1159" spans="1:10" x14ac:dyDescent="0.35">
      <c r="A1159" s="4">
        <v>40482</v>
      </c>
      <c r="B1159" s="2">
        <v>10317</v>
      </c>
      <c r="C1159" s="2">
        <v>277</v>
      </c>
      <c r="D1159" s="2">
        <v>70</v>
      </c>
      <c r="E1159" s="2">
        <v>45</v>
      </c>
      <c r="F1159" s="2">
        <v>2</v>
      </c>
      <c r="G1159" s="2">
        <v>3</v>
      </c>
      <c r="H1159" s="2">
        <v>2</v>
      </c>
      <c r="I1159" s="2">
        <v>0</v>
      </c>
      <c r="J1159" t="str">
        <f>_xlfn.XLOOKUP(Table2[[#This Row],[Customer_ID]],Table1[Customer_ID],Table1[Customer_Name])</f>
        <v>Karina Lisle</v>
      </c>
    </row>
    <row r="1160" spans="1:10" x14ac:dyDescent="0.35">
      <c r="A1160" s="4">
        <v>40484</v>
      </c>
      <c r="B1160" s="2">
        <v>10319</v>
      </c>
      <c r="C1160" s="2">
        <v>209</v>
      </c>
      <c r="D1160" s="2">
        <v>72</v>
      </c>
      <c r="E1160" s="2">
        <v>37</v>
      </c>
      <c r="F1160" s="2">
        <v>2</v>
      </c>
      <c r="G1160" s="2">
        <v>3</v>
      </c>
      <c r="H1160" s="2">
        <v>11</v>
      </c>
      <c r="I1160" s="2">
        <v>0</v>
      </c>
      <c r="J1160" t="str">
        <f>_xlfn.XLOOKUP(Table2[[#This Row],[Customer_ID]],Table1[Customer_ID],Table1[Customer_Name])</f>
        <v>Karla Munoz</v>
      </c>
    </row>
    <row r="1161" spans="1:10" x14ac:dyDescent="0.35">
      <c r="A1161" s="4">
        <v>40484</v>
      </c>
      <c r="B1161" s="2">
        <v>10319</v>
      </c>
      <c r="C1161" s="2">
        <v>334</v>
      </c>
      <c r="D1161" s="2">
        <v>72</v>
      </c>
      <c r="E1161" s="2">
        <v>37</v>
      </c>
      <c r="F1161" s="2">
        <v>2</v>
      </c>
      <c r="G1161" s="2">
        <v>1</v>
      </c>
      <c r="H1161" s="2">
        <v>4</v>
      </c>
      <c r="I1161" s="2">
        <v>0</v>
      </c>
      <c r="J1161" t="str">
        <f>_xlfn.XLOOKUP(Table2[[#This Row],[Customer_ID]],Table1[Customer_ID],Table1[Customer_Name])</f>
        <v>Karla Munoz</v>
      </c>
    </row>
    <row r="1162" spans="1:10" x14ac:dyDescent="0.35">
      <c r="A1162" s="4">
        <v>40484</v>
      </c>
      <c r="B1162" s="2">
        <v>10319</v>
      </c>
      <c r="C1162" s="2">
        <v>191</v>
      </c>
      <c r="D1162" s="2">
        <v>72</v>
      </c>
      <c r="E1162" s="2">
        <v>37</v>
      </c>
      <c r="F1162" s="2">
        <v>2</v>
      </c>
      <c r="G1162" s="2">
        <v>1</v>
      </c>
      <c r="H1162" s="2">
        <v>11</v>
      </c>
      <c r="I1162" s="2">
        <v>0</v>
      </c>
      <c r="J1162" t="str">
        <f>_xlfn.XLOOKUP(Table2[[#This Row],[Customer_ID]],Table1[Customer_ID],Table1[Customer_Name])</f>
        <v>Karla Munoz</v>
      </c>
    </row>
    <row r="1163" spans="1:10" x14ac:dyDescent="0.35">
      <c r="A1163" s="4">
        <v>40485</v>
      </c>
      <c r="B1163" s="2">
        <v>10321</v>
      </c>
      <c r="C1163" s="2">
        <v>228</v>
      </c>
      <c r="D1163" s="2">
        <v>74</v>
      </c>
      <c r="E1163" s="2">
        <v>11</v>
      </c>
      <c r="F1163" s="2">
        <v>2</v>
      </c>
      <c r="G1163" s="2">
        <v>1</v>
      </c>
      <c r="H1163" s="2">
        <v>3</v>
      </c>
      <c r="I1163" s="2">
        <v>0</v>
      </c>
      <c r="J1163" t="str">
        <f>_xlfn.XLOOKUP(Table2[[#This Row],[Customer_ID]],Table1[Customer_ID],Table1[Customer_Name])</f>
        <v>Kazuko Serrato</v>
      </c>
    </row>
    <row r="1164" spans="1:10" x14ac:dyDescent="0.35">
      <c r="A1164" s="4">
        <v>40489</v>
      </c>
      <c r="B1164" s="2">
        <v>10323</v>
      </c>
      <c r="C1164" s="2">
        <v>337</v>
      </c>
      <c r="D1164" s="2">
        <v>76</v>
      </c>
      <c r="E1164" s="2">
        <v>48</v>
      </c>
      <c r="F1164" s="2">
        <v>2</v>
      </c>
      <c r="G1164" s="2">
        <v>1</v>
      </c>
      <c r="H1164" s="2">
        <v>4</v>
      </c>
      <c r="I1164" s="2">
        <v>0</v>
      </c>
      <c r="J1164" t="str">
        <f>_xlfn.XLOOKUP(Table2[[#This Row],[Customer_ID]],Table1[Customer_ID],Table1[Customer_Name])</f>
        <v>Khalilah Demaria</v>
      </c>
    </row>
    <row r="1165" spans="1:10" x14ac:dyDescent="0.35">
      <c r="A1165" s="4">
        <v>40489</v>
      </c>
      <c r="B1165" s="2">
        <v>10323</v>
      </c>
      <c r="C1165" s="2">
        <v>318</v>
      </c>
      <c r="D1165" s="2">
        <v>76</v>
      </c>
      <c r="E1165" s="2">
        <v>48</v>
      </c>
      <c r="F1165" s="2">
        <v>2</v>
      </c>
      <c r="G1165" s="2">
        <v>3</v>
      </c>
      <c r="H1165" s="2">
        <v>3</v>
      </c>
      <c r="I1165" s="2">
        <v>0</v>
      </c>
      <c r="J1165" t="str">
        <f>_xlfn.XLOOKUP(Table2[[#This Row],[Customer_ID]],Table1[Customer_ID],Table1[Customer_Name])</f>
        <v>Khalilah Demaria</v>
      </c>
    </row>
    <row r="1166" spans="1:10" x14ac:dyDescent="0.35">
      <c r="A1166" s="4">
        <v>40489</v>
      </c>
      <c r="B1166" s="2">
        <v>10323</v>
      </c>
      <c r="C1166" s="2">
        <v>257</v>
      </c>
      <c r="D1166" s="2">
        <v>76</v>
      </c>
      <c r="E1166" s="2">
        <v>48</v>
      </c>
      <c r="F1166" s="2">
        <v>2</v>
      </c>
      <c r="G1166" s="2">
        <v>6</v>
      </c>
      <c r="H1166" s="2">
        <v>2</v>
      </c>
      <c r="I1166" s="2">
        <v>0</v>
      </c>
      <c r="J1166" t="str">
        <f>_xlfn.XLOOKUP(Table2[[#This Row],[Customer_ID]],Table1[Customer_ID],Table1[Customer_Name])</f>
        <v>Khalilah Demaria</v>
      </c>
    </row>
    <row r="1167" spans="1:10" x14ac:dyDescent="0.35">
      <c r="A1167" s="4">
        <v>40491</v>
      </c>
      <c r="B1167" s="2">
        <v>10325</v>
      </c>
      <c r="C1167" s="2">
        <v>130</v>
      </c>
      <c r="D1167" s="2">
        <v>78</v>
      </c>
      <c r="E1167" s="2">
        <v>31</v>
      </c>
      <c r="F1167" s="2">
        <v>2</v>
      </c>
      <c r="G1167" s="2">
        <v>1</v>
      </c>
      <c r="H1167" s="2">
        <v>1181</v>
      </c>
      <c r="I1167" s="2">
        <v>0</v>
      </c>
      <c r="J1167" t="str">
        <f>_xlfn.XLOOKUP(Table2[[#This Row],[Customer_ID]],Table1[Customer_ID],Table1[Customer_Name])</f>
        <v>Lacey Rollison</v>
      </c>
    </row>
    <row r="1168" spans="1:10" x14ac:dyDescent="0.35">
      <c r="A1168" s="4">
        <v>40491</v>
      </c>
      <c r="B1168" s="2">
        <v>10325</v>
      </c>
      <c r="C1168" s="2">
        <v>132</v>
      </c>
      <c r="D1168" s="2">
        <v>78</v>
      </c>
      <c r="E1168" s="2">
        <v>31</v>
      </c>
      <c r="F1168" s="2">
        <v>2</v>
      </c>
      <c r="G1168" s="2">
        <v>1</v>
      </c>
      <c r="H1168" s="2">
        <v>1221</v>
      </c>
      <c r="I1168" s="2">
        <v>0</v>
      </c>
      <c r="J1168" t="str">
        <f>_xlfn.XLOOKUP(Table2[[#This Row],[Customer_ID]],Table1[Customer_ID],Table1[Customer_Name])</f>
        <v>Lacey Rollison</v>
      </c>
    </row>
    <row r="1169" spans="1:10" x14ac:dyDescent="0.35">
      <c r="A1169" s="4">
        <v>40491</v>
      </c>
      <c r="B1169" s="2">
        <v>10325</v>
      </c>
      <c r="C1169" s="2">
        <v>199</v>
      </c>
      <c r="D1169" s="2">
        <v>78</v>
      </c>
      <c r="E1169" s="2">
        <v>31</v>
      </c>
      <c r="F1169" s="2">
        <v>2</v>
      </c>
      <c r="G1169" s="2">
        <v>9</v>
      </c>
      <c r="H1169" s="2">
        <v>3</v>
      </c>
      <c r="I1169" s="2">
        <v>0</v>
      </c>
      <c r="J1169" t="str">
        <f>_xlfn.XLOOKUP(Table2[[#This Row],[Customer_ID]],Table1[Customer_ID],Table1[Customer_Name])</f>
        <v>Lacey Rollison</v>
      </c>
    </row>
    <row r="1170" spans="1:10" x14ac:dyDescent="0.35">
      <c r="A1170" s="4">
        <v>40491</v>
      </c>
      <c r="B1170" s="2">
        <v>10325</v>
      </c>
      <c r="C1170" s="2">
        <v>129</v>
      </c>
      <c r="D1170" s="2">
        <v>78</v>
      </c>
      <c r="E1170" s="2">
        <v>31</v>
      </c>
      <c r="F1170" s="2">
        <v>2</v>
      </c>
      <c r="G1170" s="2">
        <v>1</v>
      </c>
      <c r="H1170" s="2">
        <v>577</v>
      </c>
      <c r="I1170" s="2">
        <v>0</v>
      </c>
      <c r="J1170" t="str">
        <f>_xlfn.XLOOKUP(Table2[[#This Row],[Customer_ID]],Table1[Customer_ID],Table1[Customer_Name])</f>
        <v>Lacey Rollison</v>
      </c>
    </row>
    <row r="1171" spans="1:10" x14ac:dyDescent="0.35">
      <c r="A1171" s="4">
        <v>40491</v>
      </c>
      <c r="B1171" s="2">
        <v>10325</v>
      </c>
      <c r="C1171" s="2">
        <v>131</v>
      </c>
      <c r="D1171" s="2">
        <v>78</v>
      </c>
      <c r="E1171" s="2">
        <v>31</v>
      </c>
      <c r="F1171" s="2">
        <v>2</v>
      </c>
      <c r="G1171" s="2">
        <v>2</v>
      </c>
      <c r="H1171" s="2">
        <v>840</v>
      </c>
      <c r="I1171" s="2">
        <v>0</v>
      </c>
      <c r="J1171" t="str">
        <f>_xlfn.XLOOKUP(Table2[[#This Row],[Customer_ID]],Table1[Customer_ID],Table1[Customer_Name])</f>
        <v>Lacey Rollison</v>
      </c>
    </row>
    <row r="1172" spans="1:10" x14ac:dyDescent="0.35">
      <c r="A1172" s="4">
        <v>40493</v>
      </c>
      <c r="B1172" s="2">
        <v>10327</v>
      </c>
      <c r="C1172" s="2">
        <v>230</v>
      </c>
      <c r="D1172" s="2">
        <v>80</v>
      </c>
      <c r="E1172" s="2">
        <v>100</v>
      </c>
      <c r="F1172" s="2">
        <v>2</v>
      </c>
      <c r="G1172" s="2">
        <v>4</v>
      </c>
      <c r="H1172" s="2">
        <v>6</v>
      </c>
      <c r="I1172" s="2">
        <v>0</v>
      </c>
      <c r="J1172" t="str">
        <f>_xlfn.XLOOKUP(Table2[[#This Row],[Customer_ID]],Table1[Customer_ID],Table1[Customer_Name])</f>
        <v>Lashaunda Mynatt</v>
      </c>
    </row>
    <row r="1173" spans="1:10" x14ac:dyDescent="0.35">
      <c r="A1173" s="4">
        <v>40493</v>
      </c>
      <c r="B1173" s="2">
        <v>10327</v>
      </c>
      <c r="C1173" s="2">
        <v>293</v>
      </c>
      <c r="D1173" s="2">
        <v>80</v>
      </c>
      <c r="E1173" s="2">
        <v>100</v>
      </c>
      <c r="F1173" s="2">
        <v>2</v>
      </c>
      <c r="G1173" s="2">
        <v>4</v>
      </c>
      <c r="H1173" s="2">
        <v>2</v>
      </c>
      <c r="I1173" s="2">
        <v>0</v>
      </c>
      <c r="J1173" t="str">
        <f>_xlfn.XLOOKUP(Table2[[#This Row],[Customer_ID]],Table1[Customer_ID],Table1[Customer_Name])</f>
        <v>Lashaunda Mynatt</v>
      </c>
    </row>
    <row r="1174" spans="1:10" x14ac:dyDescent="0.35">
      <c r="A1174" s="4">
        <v>40493</v>
      </c>
      <c r="B1174" s="2">
        <v>10327</v>
      </c>
      <c r="C1174" s="2">
        <v>284</v>
      </c>
      <c r="D1174" s="2">
        <v>80</v>
      </c>
      <c r="E1174" s="2">
        <v>100</v>
      </c>
      <c r="F1174" s="2">
        <v>2</v>
      </c>
      <c r="G1174" s="2">
        <v>1</v>
      </c>
      <c r="H1174" s="2">
        <v>9</v>
      </c>
      <c r="I1174" s="2">
        <v>0</v>
      </c>
      <c r="J1174" t="str">
        <f>_xlfn.XLOOKUP(Table2[[#This Row],[Customer_ID]],Table1[Customer_ID],Table1[Customer_Name])</f>
        <v>Lashaunda Mynatt</v>
      </c>
    </row>
    <row r="1175" spans="1:10" x14ac:dyDescent="0.35">
      <c r="A1175" s="4">
        <v>40493</v>
      </c>
      <c r="B1175" s="2">
        <v>10327</v>
      </c>
      <c r="C1175" s="2">
        <v>373</v>
      </c>
      <c r="D1175" s="2">
        <v>80</v>
      </c>
      <c r="E1175" s="2">
        <v>100</v>
      </c>
      <c r="F1175" s="2">
        <v>2</v>
      </c>
      <c r="G1175" s="2">
        <v>5</v>
      </c>
      <c r="H1175" s="2">
        <v>6</v>
      </c>
      <c r="I1175" s="2">
        <v>0</v>
      </c>
      <c r="J1175" t="str">
        <f>_xlfn.XLOOKUP(Table2[[#This Row],[Customer_ID]],Table1[Customer_ID],Table1[Customer_Name])</f>
        <v>Lashaunda Mynatt</v>
      </c>
    </row>
    <row r="1176" spans="1:10" x14ac:dyDescent="0.35">
      <c r="A1176" s="4">
        <v>40497</v>
      </c>
      <c r="B1176" s="2">
        <v>10329</v>
      </c>
      <c r="C1176" s="2">
        <v>378</v>
      </c>
      <c r="D1176" s="2">
        <v>82</v>
      </c>
      <c r="E1176" s="2">
        <v>18</v>
      </c>
      <c r="F1176" s="2">
        <v>2</v>
      </c>
      <c r="G1176" s="2">
        <v>8</v>
      </c>
      <c r="H1176" s="2">
        <v>3</v>
      </c>
      <c r="I1176" s="2">
        <v>0</v>
      </c>
      <c r="J1176" t="str">
        <f>_xlfn.XLOOKUP(Table2[[#This Row],[Customer_ID]],Table1[Customer_ID],Table1[Customer_Name])</f>
        <v>Lesley Rue</v>
      </c>
    </row>
    <row r="1177" spans="1:10" x14ac:dyDescent="0.35">
      <c r="A1177" s="4">
        <v>40497</v>
      </c>
      <c r="B1177" s="2">
        <v>10329</v>
      </c>
      <c r="C1177" s="2">
        <v>379</v>
      </c>
      <c r="D1177" s="2">
        <v>82</v>
      </c>
      <c r="E1177" s="2">
        <v>18</v>
      </c>
      <c r="F1177" s="2">
        <v>2</v>
      </c>
      <c r="G1177" s="2">
        <v>3</v>
      </c>
      <c r="H1177" s="2">
        <v>4</v>
      </c>
      <c r="I1177" s="2">
        <v>0</v>
      </c>
      <c r="J1177" t="str">
        <f>_xlfn.XLOOKUP(Table2[[#This Row],[Customer_ID]],Table1[Customer_ID],Table1[Customer_Name])</f>
        <v>Lesley Rue</v>
      </c>
    </row>
    <row r="1178" spans="1:10" x14ac:dyDescent="0.35">
      <c r="A1178" s="4">
        <v>40497</v>
      </c>
      <c r="B1178" s="2">
        <v>10329</v>
      </c>
      <c r="C1178" s="2">
        <v>381</v>
      </c>
      <c r="D1178" s="2">
        <v>82</v>
      </c>
      <c r="E1178" s="2">
        <v>18</v>
      </c>
      <c r="F1178" s="2">
        <v>2</v>
      </c>
      <c r="G1178" s="2">
        <v>1</v>
      </c>
      <c r="H1178" s="2">
        <v>10</v>
      </c>
      <c r="I1178" s="2">
        <v>0</v>
      </c>
      <c r="J1178" t="str">
        <f>_xlfn.XLOOKUP(Table2[[#This Row],[Customer_ID]],Table1[Customer_ID],Table1[Customer_Name])</f>
        <v>Lesley Rue</v>
      </c>
    </row>
    <row r="1179" spans="1:10" x14ac:dyDescent="0.35">
      <c r="A1179" s="4">
        <v>40497</v>
      </c>
      <c r="B1179" s="2">
        <v>10329</v>
      </c>
      <c r="C1179" s="2">
        <v>377</v>
      </c>
      <c r="D1179" s="2">
        <v>82</v>
      </c>
      <c r="E1179" s="2">
        <v>18</v>
      </c>
      <c r="F1179" s="2">
        <v>2</v>
      </c>
      <c r="G1179" s="2">
        <v>1</v>
      </c>
      <c r="H1179" s="2">
        <v>3</v>
      </c>
      <c r="I1179" s="2">
        <v>0</v>
      </c>
      <c r="J1179" t="str">
        <f>_xlfn.XLOOKUP(Table2[[#This Row],[Customer_ID]],Table1[Customer_ID],Table1[Customer_Name])</f>
        <v>Lesley Rue</v>
      </c>
    </row>
    <row r="1180" spans="1:10" x14ac:dyDescent="0.35">
      <c r="A1180" s="4">
        <v>40498</v>
      </c>
      <c r="B1180" s="2">
        <v>10331</v>
      </c>
      <c r="C1180" s="2">
        <v>376</v>
      </c>
      <c r="D1180" s="2">
        <v>84</v>
      </c>
      <c r="E1180" s="2">
        <v>10</v>
      </c>
      <c r="F1180" s="2">
        <v>2</v>
      </c>
      <c r="G1180" s="2">
        <v>6</v>
      </c>
      <c r="H1180" s="2">
        <v>4</v>
      </c>
      <c r="I1180" s="2">
        <v>0</v>
      </c>
      <c r="J1180" t="str">
        <f>_xlfn.XLOOKUP(Table2[[#This Row],[Customer_ID]],Table1[Customer_ID],Table1[Customer_Name])</f>
        <v>Linn Muncy</v>
      </c>
    </row>
    <row r="1181" spans="1:10" x14ac:dyDescent="0.35">
      <c r="A1181" s="4">
        <v>40500</v>
      </c>
      <c r="B1181" s="2">
        <v>10333</v>
      </c>
      <c r="C1181" s="2">
        <v>268</v>
      </c>
      <c r="D1181" s="2">
        <v>86</v>
      </c>
      <c r="E1181" s="2">
        <v>32</v>
      </c>
      <c r="F1181" s="2">
        <v>2</v>
      </c>
      <c r="G1181" s="2">
        <v>5</v>
      </c>
      <c r="H1181" s="2">
        <v>3</v>
      </c>
      <c r="I1181" s="2">
        <v>0</v>
      </c>
      <c r="J1181" t="str">
        <f>_xlfn.XLOOKUP(Table2[[#This Row],[Customer_ID]],Table1[Customer_ID],Table1[Customer_Name])</f>
        <v>Louann Luck</v>
      </c>
    </row>
    <row r="1182" spans="1:10" x14ac:dyDescent="0.35">
      <c r="A1182" s="4">
        <v>40500</v>
      </c>
      <c r="B1182" s="2">
        <v>10333</v>
      </c>
      <c r="C1182" s="2">
        <v>273</v>
      </c>
      <c r="D1182" s="2">
        <v>86</v>
      </c>
      <c r="E1182" s="2">
        <v>32</v>
      </c>
      <c r="F1182" s="2">
        <v>2</v>
      </c>
      <c r="G1182" s="2">
        <v>2</v>
      </c>
      <c r="H1182" s="2">
        <v>3</v>
      </c>
      <c r="I1182" s="2">
        <v>0</v>
      </c>
      <c r="J1182" t="str">
        <f>_xlfn.XLOOKUP(Table2[[#This Row],[Customer_ID]],Table1[Customer_ID],Table1[Customer_Name])</f>
        <v>Louann Luck</v>
      </c>
    </row>
    <row r="1183" spans="1:10" x14ac:dyDescent="0.35">
      <c r="A1183" s="4">
        <v>40500</v>
      </c>
      <c r="B1183" s="2">
        <v>10333</v>
      </c>
      <c r="C1183" s="2">
        <v>267</v>
      </c>
      <c r="D1183" s="2">
        <v>86</v>
      </c>
      <c r="E1183" s="2">
        <v>32</v>
      </c>
      <c r="F1183" s="2">
        <v>2</v>
      </c>
      <c r="G1183" s="2">
        <v>3</v>
      </c>
      <c r="H1183" s="2">
        <v>3</v>
      </c>
      <c r="I1183" s="2">
        <v>0</v>
      </c>
      <c r="J1183" t="str">
        <f>_xlfn.XLOOKUP(Table2[[#This Row],[Customer_ID]],Table1[Customer_ID],Table1[Customer_Name])</f>
        <v>Louann Luck</v>
      </c>
    </row>
    <row r="1184" spans="1:10" x14ac:dyDescent="0.35">
      <c r="A1184" s="4">
        <v>40504</v>
      </c>
      <c r="B1184" s="2">
        <v>10335</v>
      </c>
      <c r="C1184" s="2">
        <v>424</v>
      </c>
      <c r="D1184" s="2">
        <v>88</v>
      </c>
      <c r="E1184" s="2">
        <v>48</v>
      </c>
      <c r="F1184" s="2">
        <v>2</v>
      </c>
      <c r="G1184" s="2">
        <v>1</v>
      </c>
      <c r="H1184" s="2">
        <v>12</v>
      </c>
      <c r="I1184" s="2">
        <v>0</v>
      </c>
      <c r="J1184" t="str">
        <f>_xlfn.XLOOKUP(Table2[[#This Row],[Customer_ID]],Table1[Customer_ID],Table1[Customer_Name])</f>
        <v>Marlene Daniell</v>
      </c>
    </row>
    <row r="1185" spans="1:10" x14ac:dyDescent="0.35">
      <c r="A1185" s="4">
        <v>40504</v>
      </c>
      <c r="B1185" s="2">
        <v>10335</v>
      </c>
      <c r="C1185" s="2">
        <v>309</v>
      </c>
      <c r="D1185" s="2">
        <v>88</v>
      </c>
      <c r="E1185" s="2">
        <v>48</v>
      </c>
      <c r="F1185" s="2">
        <v>2</v>
      </c>
      <c r="G1185" s="2">
        <v>5</v>
      </c>
      <c r="H1185" s="2">
        <v>39</v>
      </c>
      <c r="I1185" s="2">
        <v>0</v>
      </c>
      <c r="J1185" t="str">
        <f>_xlfn.XLOOKUP(Table2[[#This Row],[Customer_ID]],Table1[Customer_ID],Table1[Customer_Name])</f>
        <v>Marlene Daniell</v>
      </c>
    </row>
    <row r="1186" spans="1:10" x14ac:dyDescent="0.35">
      <c r="A1186" s="4">
        <v>40504</v>
      </c>
      <c r="B1186" s="2">
        <v>10335</v>
      </c>
      <c r="C1186" s="2">
        <v>422</v>
      </c>
      <c r="D1186" s="2">
        <v>88</v>
      </c>
      <c r="E1186" s="2">
        <v>48</v>
      </c>
      <c r="F1186" s="2">
        <v>2</v>
      </c>
      <c r="G1186" s="2">
        <v>2</v>
      </c>
      <c r="H1186" s="2">
        <v>7</v>
      </c>
      <c r="I1186" s="2">
        <v>0</v>
      </c>
      <c r="J1186" t="str">
        <f>_xlfn.XLOOKUP(Table2[[#This Row],[Customer_ID]],Table1[Customer_ID],Table1[Customer_Name])</f>
        <v>Marlene Daniell</v>
      </c>
    </row>
    <row r="1187" spans="1:10" x14ac:dyDescent="0.35">
      <c r="A1187" s="4">
        <v>40504</v>
      </c>
      <c r="B1187" s="2">
        <v>10335</v>
      </c>
      <c r="C1187" s="2">
        <v>193</v>
      </c>
      <c r="D1187" s="2">
        <v>88</v>
      </c>
      <c r="E1187" s="2">
        <v>48</v>
      </c>
      <c r="F1187" s="2">
        <v>2</v>
      </c>
      <c r="G1187" s="2">
        <v>4</v>
      </c>
      <c r="H1187" s="2">
        <v>5</v>
      </c>
      <c r="I1187" s="2">
        <v>0</v>
      </c>
      <c r="J1187" t="str">
        <f>_xlfn.XLOOKUP(Table2[[#This Row],[Customer_ID]],Table1[Customer_ID],Table1[Customer_Name])</f>
        <v>Marlene Daniell</v>
      </c>
    </row>
    <row r="1188" spans="1:10" x14ac:dyDescent="0.35">
      <c r="A1188" s="4">
        <v>40506</v>
      </c>
      <c r="B1188" s="2">
        <v>10337</v>
      </c>
      <c r="C1188" s="2">
        <v>213</v>
      </c>
      <c r="D1188" s="2">
        <v>90</v>
      </c>
      <c r="E1188" s="2">
        <v>9</v>
      </c>
      <c r="F1188" s="2">
        <v>2</v>
      </c>
      <c r="G1188" s="2">
        <v>3</v>
      </c>
      <c r="H1188" s="2">
        <v>2</v>
      </c>
      <c r="I1188" s="2">
        <v>0</v>
      </c>
      <c r="J1188" t="str">
        <f>_xlfn.XLOOKUP(Table2[[#This Row],[Customer_ID]],Table1[Customer_ID],Table1[Customer_Name])</f>
        <v>Maxwell Wengert</v>
      </c>
    </row>
    <row r="1189" spans="1:10" x14ac:dyDescent="0.35">
      <c r="A1189" s="4">
        <v>40506</v>
      </c>
      <c r="B1189" s="2">
        <v>10337</v>
      </c>
      <c r="C1189" s="2">
        <v>223</v>
      </c>
      <c r="D1189" s="2">
        <v>90</v>
      </c>
      <c r="E1189" s="2">
        <v>9</v>
      </c>
      <c r="F1189" s="2">
        <v>2</v>
      </c>
      <c r="G1189" s="2">
        <v>1</v>
      </c>
      <c r="H1189" s="2">
        <v>4</v>
      </c>
      <c r="I1189" s="2">
        <v>0</v>
      </c>
      <c r="J1189" t="str">
        <f>_xlfn.XLOOKUP(Table2[[#This Row],[Customer_ID]],Table1[Customer_ID],Table1[Customer_Name])</f>
        <v>Maxwell Wengert</v>
      </c>
    </row>
    <row r="1190" spans="1:10" x14ac:dyDescent="0.35">
      <c r="A1190" s="4">
        <v>40506</v>
      </c>
      <c r="B1190" s="2">
        <v>10337</v>
      </c>
      <c r="C1190" s="2">
        <v>407</v>
      </c>
      <c r="D1190" s="2">
        <v>90</v>
      </c>
      <c r="E1190" s="2">
        <v>9</v>
      </c>
      <c r="F1190" s="2">
        <v>2</v>
      </c>
      <c r="G1190" s="2">
        <v>1</v>
      </c>
      <c r="H1190" s="2">
        <v>16</v>
      </c>
      <c r="I1190" s="2">
        <v>0</v>
      </c>
      <c r="J1190" t="str">
        <f>_xlfn.XLOOKUP(Table2[[#This Row],[Customer_ID]],Table1[Customer_ID],Table1[Customer_Name])</f>
        <v>Maxwell Wengert</v>
      </c>
    </row>
    <row r="1191" spans="1:10" x14ac:dyDescent="0.35">
      <c r="A1191" s="4">
        <v>40506</v>
      </c>
      <c r="B1191" s="2">
        <v>10337</v>
      </c>
      <c r="C1191" s="2">
        <v>235</v>
      </c>
      <c r="D1191" s="2">
        <v>90</v>
      </c>
      <c r="E1191" s="2">
        <v>9</v>
      </c>
      <c r="F1191" s="2">
        <v>2</v>
      </c>
      <c r="G1191" s="2">
        <v>6</v>
      </c>
      <c r="H1191" s="2">
        <v>27</v>
      </c>
      <c r="I1191" s="2">
        <v>0</v>
      </c>
      <c r="J1191" t="str">
        <f>_xlfn.XLOOKUP(Table2[[#This Row],[Customer_ID]],Table1[Customer_ID],Table1[Customer_Name])</f>
        <v>Maxwell Wengert</v>
      </c>
    </row>
    <row r="1192" spans="1:10" x14ac:dyDescent="0.35">
      <c r="A1192" s="4">
        <v>40506</v>
      </c>
      <c r="B1192" s="2">
        <v>10337</v>
      </c>
      <c r="C1192" s="2">
        <v>217</v>
      </c>
      <c r="D1192" s="2">
        <v>90</v>
      </c>
      <c r="E1192" s="2">
        <v>9</v>
      </c>
      <c r="F1192" s="2">
        <v>2</v>
      </c>
      <c r="G1192" s="2">
        <v>4</v>
      </c>
      <c r="H1192" s="2">
        <v>4</v>
      </c>
      <c r="I1192" s="2">
        <v>0</v>
      </c>
      <c r="J1192" t="str">
        <f>_xlfn.XLOOKUP(Table2[[#This Row],[Customer_ID]],Table1[Customer_ID],Table1[Customer_Name])</f>
        <v>Maxwell Wengert</v>
      </c>
    </row>
    <row r="1193" spans="1:10" x14ac:dyDescent="0.35">
      <c r="A1193" s="4">
        <v>40510</v>
      </c>
      <c r="B1193" s="2">
        <v>10339</v>
      </c>
      <c r="C1193" s="2">
        <v>265</v>
      </c>
      <c r="D1193" s="2">
        <v>92</v>
      </c>
      <c r="E1193" s="2">
        <v>59</v>
      </c>
      <c r="F1193" s="2">
        <v>2</v>
      </c>
      <c r="G1193" s="2">
        <v>1</v>
      </c>
      <c r="H1193" s="2">
        <v>2</v>
      </c>
      <c r="I1193" s="2">
        <v>0</v>
      </c>
      <c r="J1193" t="str">
        <f>_xlfn.XLOOKUP(Table2[[#This Row],[Customer_ID]],Table1[Customer_ID],Table1[Customer_Name])</f>
        <v>Mercedes Godin</v>
      </c>
    </row>
    <row r="1194" spans="1:10" x14ac:dyDescent="0.35">
      <c r="A1194" s="4">
        <v>40510</v>
      </c>
      <c r="B1194" s="2">
        <v>10339</v>
      </c>
      <c r="C1194" s="2">
        <v>237</v>
      </c>
      <c r="D1194" s="2">
        <v>92</v>
      </c>
      <c r="E1194" s="2">
        <v>59</v>
      </c>
      <c r="F1194" s="2">
        <v>2</v>
      </c>
      <c r="G1194" s="2">
        <v>7</v>
      </c>
      <c r="H1194" s="2">
        <v>18</v>
      </c>
      <c r="I1194" s="2">
        <v>0</v>
      </c>
      <c r="J1194" t="str">
        <f>_xlfn.XLOOKUP(Table2[[#This Row],[Customer_ID]],Table1[Customer_ID],Table1[Customer_Name])</f>
        <v>Mercedes Godin</v>
      </c>
    </row>
    <row r="1195" spans="1:10" x14ac:dyDescent="0.35">
      <c r="A1195" s="4">
        <v>40510</v>
      </c>
      <c r="B1195" s="2">
        <v>10339</v>
      </c>
      <c r="C1195" s="2">
        <v>220</v>
      </c>
      <c r="D1195" s="2">
        <v>92</v>
      </c>
      <c r="E1195" s="2">
        <v>59</v>
      </c>
      <c r="F1195" s="2">
        <v>2</v>
      </c>
      <c r="G1195" s="2">
        <v>6</v>
      </c>
      <c r="H1195" s="2">
        <v>5</v>
      </c>
      <c r="I1195" s="2">
        <v>0</v>
      </c>
      <c r="J1195" t="str">
        <f>_xlfn.XLOOKUP(Table2[[#This Row],[Customer_ID]],Table1[Customer_ID],Table1[Customer_Name])</f>
        <v>Mercedes Godin</v>
      </c>
    </row>
    <row r="1196" spans="1:10" x14ac:dyDescent="0.35">
      <c r="A1196" s="4">
        <v>40511</v>
      </c>
      <c r="B1196" s="2">
        <v>10341</v>
      </c>
      <c r="C1196" s="2">
        <v>282</v>
      </c>
      <c r="D1196" s="2">
        <v>94</v>
      </c>
      <c r="E1196" s="2">
        <v>61</v>
      </c>
      <c r="F1196" s="2">
        <v>2</v>
      </c>
      <c r="G1196" s="2">
        <v>3</v>
      </c>
      <c r="H1196" s="2">
        <v>3</v>
      </c>
      <c r="I1196" s="2">
        <v>0</v>
      </c>
      <c r="J1196" t="str">
        <f>_xlfn.XLOOKUP(Table2[[#This Row],[Customer_ID]],Table1[Customer_ID],Table1[Customer_Name])</f>
        <v>Michelina Manners</v>
      </c>
    </row>
    <row r="1197" spans="1:10" x14ac:dyDescent="0.35">
      <c r="A1197" s="4">
        <v>40511</v>
      </c>
      <c r="B1197" s="2">
        <v>10341</v>
      </c>
      <c r="C1197" s="2">
        <v>279</v>
      </c>
      <c r="D1197" s="2">
        <v>94</v>
      </c>
      <c r="E1197" s="2">
        <v>61</v>
      </c>
      <c r="F1197" s="2">
        <v>2</v>
      </c>
      <c r="G1197" s="2">
        <v>2</v>
      </c>
      <c r="H1197" s="2">
        <v>4</v>
      </c>
      <c r="I1197" s="2">
        <v>0</v>
      </c>
      <c r="J1197" t="str">
        <f>_xlfn.XLOOKUP(Table2[[#This Row],[Customer_ID]],Table1[Customer_ID],Table1[Customer_Name])</f>
        <v>Michelina Manners</v>
      </c>
    </row>
    <row r="1198" spans="1:10" x14ac:dyDescent="0.35">
      <c r="A1198" s="4">
        <v>40513</v>
      </c>
      <c r="B1198" s="2">
        <v>10343</v>
      </c>
      <c r="C1198" s="2">
        <v>134</v>
      </c>
      <c r="D1198" s="2">
        <v>96</v>
      </c>
      <c r="E1198" s="2">
        <v>26</v>
      </c>
      <c r="F1198" s="2">
        <v>2</v>
      </c>
      <c r="G1198" s="2">
        <v>3</v>
      </c>
      <c r="H1198" s="2">
        <v>90</v>
      </c>
      <c r="I1198" s="2">
        <v>0</v>
      </c>
      <c r="J1198" t="str">
        <f>_xlfn.XLOOKUP(Table2[[#This Row],[Customer_ID]],Table1[Customer_ID],Table1[Customer_Name])</f>
        <v>Miss Henslee</v>
      </c>
    </row>
    <row r="1199" spans="1:10" x14ac:dyDescent="0.35">
      <c r="A1199" s="4">
        <v>40513</v>
      </c>
      <c r="B1199" s="2">
        <v>10343</v>
      </c>
      <c r="C1199" s="2">
        <v>148</v>
      </c>
      <c r="D1199" s="2">
        <v>96</v>
      </c>
      <c r="E1199" s="2">
        <v>26</v>
      </c>
      <c r="F1199" s="2">
        <v>2</v>
      </c>
      <c r="G1199" s="2">
        <v>7</v>
      </c>
      <c r="H1199" s="2">
        <v>444</v>
      </c>
      <c r="I1199" s="2">
        <v>0</v>
      </c>
      <c r="J1199" t="str">
        <f>_xlfn.XLOOKUP(Table2[[#This Row],[Customer_ID]],Table1[Customer_ID],Table1[Customer_Name])</f>
        <v>Miss Henslee</v>
      </c>
    </row>
    <row r="1200" spans="1:10" x14ac:dyDescent="0.35">
      <c r="A1200" s="4">
        <v>40513</v>
      </c>
      <c r="B1200" s="2">
        <v>10343</v>
      </c>
      <c r="C1200" s="2">
        <v>136</v>
      </c>
      <c r="D1200" s="2">
        <v>96</v>
      </c>
      <c r="E1200" s="2">
        <v>26</v>
      </c>
      <c r="F1200" s="2">
        <v>2</v>
      </c>
      <c r="G1200" s="2">
        <v>2</v>
      </c>
      <c r="H1200" s="2">
        <v>90</v>
      </c>
      <c r="I1200" s="2">
        <v>0</v>
      </c>
      <c r="J1200" t="str">
        <f>_xlfn.XLOOKUP(Table2[[#This Row],[Customer_ID]],Table1[Customer_ID],Table1[Customer_Name])</f>
        <v>Miss Henslee</v>
      </c>
    </row>
    <row r="1201" spans="1:10" x14ac:dyDescent="0.35">
      <c r="A1201" s="4">
        <v>40517</v>
      </c>
      <c r="B1201" s="2">
        <v>10345</v>
      </c>
      <c r="C1201" s="2">
        <v>149</v>
      </c>
      <c r="D1201" s="2">
        <v>98</v>
      </c>
      <c r="E1201" s="2">
        <v>97</v>
      </c>
      <c r="F1201" s="2">
        <v>2</v>
      </c>
      <c r="G1201" s="2">
        <v>4</v>
      </c>
      <c r="H1201" s="2">
        <v>717</v>
      </c>
      <c r="I1201" s="2">
        <v>0</v>
      </c>
      <c r="J1201" t="str">
        <f>_xlfn.XLOOKUP(Table2[[#This Row],[Customer_ID]],Table1[Customer_ID],Table1[Customer_Name])</f>
        <v>Myesha Mumm</v>
      </c>
    </row>
    <row r="1202" spans="1:10" x14ac:dyDescent="0.35">
      <c r="A1202" s="4">
        <v>40517</v>
      </c>
      <c r="B1202" s="2">
        <v>10345</v>
      </c>
      <c r="C1202" s="2">
        <v>163</v>
      </c>
      <c r="D1202" s="2">
        <v>98</v>
      </c>
      <c r="E1202" s="2">
        <v>97</v>
      </c>
      <c r="F1202" s="2">
        <v>2</v>
      </c>
      <c r="G1202" s="2">
        <v>8</v>
      </c>
      <c r="H1202" s="2">
        <v>2533</v>
      </c>
      <c r="I1202" s="2">
        <v>0</v>
      </c>
      <c r="J1202" t="str">
        <f>_xlfn.XLOOKUP(Table2[[#This Row],[Customer_ID]],Table1[Customer_ID],Table1[Customer_Name])</f>
        <v>Myesha Mumm</v>
      </c>
    </row>
    <row r="1203" spans="1:10" x14ac:dyDescent="0.35">
      <c r="A1203" s="4">
        <v>40517</v>
      </c>
      <c r="B1203" s="2">
        <v>10345</v>
      </c>
      <c r="C1203" s="2">
        <v>150</v>
      </c>
      <c r="D1203" s="2">
        <v>98</v>
      </c>
      <c r="E1203" s="2">
        <v>97</v>
      </c>
      <c r="F1203" s="2">
        <v>2</v>
      </c>
      <c r="G1203" s="2">
        <v>4</v>
      </c>
      <c r="H1203" s="2">
        <v>534</v>
      </c>
      <c r="I1203" s="2">
        <v>0</v>
      </c>
      <c r="J1203" t="str">
        <f>_xlfn.XLOOKUP(Table2[[#This Row],[Customer_ID]],Table1[Customer_ID],Table1[Customer_Name])</f>
        <v>Myesha Mumm</v>
      </c>
    </row>
    <row r="1204" spans="1:10" x14ac:dyDescent="0.35">
      <c r="A1204" s="4">
        <v>40519</v>
      </c>
      <c r="B1204" s="2">
        <v>10347</v>
      </c>
      <c r="C1204" s="2">
        <v>155</v>
      </c>
      <c r="D1204" s="2">
        <v>100</v>
      </c>
      <c r="E1204" s="2">
        <v>18</v>
      </c>
      <c r="F1204" s="2">
        <v>2</v>
      </c>
      <c r="G1204" s="2">
        <v>8</v>
      </c>
      <c r="H1204" s="2">
        <v>852</v>
      </c>
      <c r="I1204" s="2">
        <v>0</v>
      </c>
      <c r="J1204" t="str">
        <f>_xlfn.XLOOKUP(Table2[[#This Row],[Customer_ID]],Table1[Customer_ID],Table1[Customer_Name])</f>
        <v>Natividad Grandberry</v>
      </c>
    </row>
    <row r="1205" spans="1:10" x14ac:dyDescent="0.35">
      <c r="A1205" s="4">
        <v>40519</v>
      </c>
      <c r="B1205" s="2">
        <v>10347</v>
      </c>
      <c r="C1205" s="2">
        <v>433</v>
      </c>
      <c r="D1205" s="2">
        <v>100</v>
      </c>
      <c r="E1205" s="2">
        <v>18</v>
      </c>
      <c r="F1205" s="2">
        <v>2</v>
      </c>
      <c r="G1205" s="2">
        <v>6</v>
      </c>
      <c r="H1205" s="2">
        <v>14</v>
      </c>
      <c r="I1205" s="2">
        <v>0</v>
      </c>
      <c r="J1205" t="str">
        <f>_xlfn.XLOOKUP(Table2[[#This Row],[Customer_ID]],Table1[Customer_ID],Table1[Customer_Name])</f>
        <v>Natividad Grandberry</v>
      </c>
    </row>
    <row r="1206" spans="1:10" x14ac:dyDescent="0.35">
      <c r="A1206" s="4">
        <v>40519</v>
      </c>
      <c r="B1206" s="2">
        <v>10347</v>
      </c>
      <c r="C1206" s="2">
        <v>439</v>
      </c>
      <c r="D1206" s="2">
        <v>100</v>
      </c>
      <c r="E1206" s="2">
        <v>18</v>
      </c>
      <c r="F1206" s="2">
        <v>2</v>
      </c>
      <c r="G1206" s="2">
        <v>1</v>
      </c>
      <c r="H1206" s="2">
        <v>10</v>
      </c>
      <c r="I1206" s="2">
        <v>0</v>
      </c>
      <c r="J1206" t="str">
        <f>_xlfn.XLOOKUP(Table2[[#This Row],[Customer_ID]],Table1[Customer_ID],Table1[Customer_Name])</f>
        <v>Natividad Grandberry</v>
      </c>
    </row>
    <row r="1207" spans="1:10" x14ac:dyDescent="0.35">
      <c r="A1207" s="4">
        <v>40519</v>
      </c>
      <c r="B1207" s="2">
        <v>10347</v>
      </c>
      <c r="C1207" s="2">
        <v>429</v>
      </c>
      <c r="D1207" s="2">
        <v>100</v>
      </c>
      <c r="E1207" s="2">
        <v>18</v>
      </c>
      <c r="F1207" s="2">
        <v>2</v>
      </c>
      <c r="G1207" s="2">
        <v>1</v>
      </c>
      <c r="H1207" s="2">
        <v>14</v>
      </c>
      <c r="I1207" s="2">
        <v>0</v>
      </c>
      <c r="J1207" t="str">
        <f>_xlfn.XLOOKUP(Table2[[#This Row],[Customer_ID]],Table1[Customer_ID],Table1[Customer_Name])</f>
        <v>Natividad Grandberry</v>
      </c>
    </row>
    <row r="1208" spans="1:10" x14ac:dyDescent="0.35">
      <c r="A1208" s="4">
        <v>40521</v>
      </c>
      <c r="B1208" s="2">
        <v>10349</v>
      </c>
      <c r="C1208" s="2">
        <v>57</v>
      </c>
      <c r="D1208" s="2">
        <v>2</v>
      </c>
      <c r="E1208" s="2">
        <v>22</v>
      </c>
      <c r="F1208" s="2">
        <v>2</v>
      </c>
      <c r="G1208" s="2">
        <v>1</v>
      </c>
      <c r="H1208" s="2">
        <v>4</v>
      </c>
      <c r="I1208" s="2">
        <v>0</v>
      </c>
      <c r="J1208" t="str">
        <f>_xlfn.XLOOKUP(Table2[[#This Row],[Customer_ID]],Table1[Customer_ID],Table1[Customer_Name])</f>
        <v>Alaine Kindig</v>
      </c>
    </row>
    <row r="1209" spans="1:10" x14ac:dyDescent="0.35">
      <c r="A1209" s="4">
        <v>40524</v>
      </c>
      <c r="B1209" s="2">
        <v>10351</v>
      </c>
      <c r="C1209" s="2">
        <v>18</v>
      </c>
      <c r="D1209" s="2">
        <v>4</v>
      </c>
      <c r="E1209" s="2">
        <v>64</v>
      </c>
      <c r="F1209" s="2">
        <v>2</v>
      </c>
      <c r="G1209" s="2">
        <v>3</v>
      </c>
      <c r="H1209" s="2">
        <v>154</v>
      </c>
      <c r="I1209" s="2">
        <v>0</v>
      </c>
      <c r="J1209" t="str">
        <f>_xlfn.XLOOKUP(Table2[[#This Row],[Customer_ID]],Table1[Customer_ID],Table1[Customer_Name])</f>
        <v>Andreas Armour</v>
      </c>
    </row>
    <row r="1210" spans="1:10" x14ac:dyDescent="0.35">
      <c r="A1210" s="4">
        <v>40524</v>
      </c>
      <c r="B1210" s="2">
        <v>10351</v>
      </c>
      <c r="C1210" s="2">
        <v>32</v>
      </c>
      <c r="D1210" s="2">
        <v>4</v>
      </c>
      <c r="E1210" s="2">
        <v>64</v>
      </c>
      <c r="F1210" s="2">
        <v>2</v>
      </c>
      <c r="G1210" s="2">
        <v>2</v>
      </c>
      <c r="H1210" s="2">
        <v>5</v>
      </c>
      <c r="I1210" s="2">
        <v>0</v>
      </c>
      <c r="J1210" t="str">
        <f>_xlfn.XLOOKUP(Table2[[#This Row],[Customer_ID]],Table1[Customer_ID],Table1[Customer_Name])</f>
        <v>Andreas Armour</v>
      </c>
    </row>
    <row r="1211" spans="1:10" x14ac:dyDescent="0.35">
      <c r="A1211" s="4">
        <v>40524</v>
      </c>
      <c r="B1211" s="2">
        <v>10351</v>
      </c>
      <c r="C1211" s="2">
        <v>13</v>
      </c>
      <c r="D1211" s="2">
        <v>4</v>
      </c>
      <c r="E1211" s="2">
        <v>64</v>
      </c>
      <c r="F1211" s="2">
        <v>2</v>
      </c>
      <c r="G1211" s="2">
        <v>6</v>
      </c>
      <c r="H1211" s="2">
        <v>446</v>
      </c>
      <c r="I1211" s="2">
        <v>0</v>
      </c>
      <c r="J1211" t="str">
        <f>_xlfn.XLOOKUP(Table2[[#This Row],[Customer_ID]],Table1[Customer_ID],Table1[Customer_Name])</f>
        <v>Andreas Armour</v>
      </c>
    </row>
    <row r="1212" spans="1:10" x14ac:dyDescent="0.35">
      <c r="A1212" s="4">
        <v>40524</v>
      </c>
      <c r="B1212" s="2">
        <v>10351</v>
      </c>
      <c r="C1212" s="2">
        <v>14</v>
      </c>
      <c r="D1212" s="2">
        <v>4</v>
      </c>
      <c r="E1212" s="2">
        <v>64</v>
      </c>
      <c r="F1212" s="2">
        <v>2</v>
      </c>
      <c r="G1212" s="2">
        <v>2</v>
      </c>
      <c r="H1212" s="2">
        <v>482</v>
      </c>
      <c r="I1212" s="2">
        <v>0</v>
      </c>
      <c r="J1212" t="str">
        <f>_xlfn.XLOOKUP(Table2[[#This Row],[Customer_ID]],Table1[Customer_ID],Table1[Customer_Name])</f>
        <v>Andreas Armour</v>
      </c>
    </row>
    <row r="1213" spans="1:10" x14ac:dyDescent="0.35">
      <c r="A1213" s="4">
        <v>40526</v>
      </c>
      <c r="B1213" s="2">
        <v>10353</v>
      </c>
      <c r="C1213" s="2">
        <v>36</v>
      </c>
      <c r="D1213" s="2">
        <v>6</v>
      </c>
      <c r="E1213" s="2">
        <v>53</v>
      </c>
      <c r="F1213" s="2">
        <v>2</v>
      </c>
      <c r="G1213" s="2">
        <v>1</v>
      </c>
      <c r="H1213" s="2">
        <v>10</v>
      </c>
      <c r="I1213" s="2">
        <v>0</v>
      </c>
      <c r="J1213" t="str">
        <f>_xlfn.XLOOKUP(Table2[[#This Row],[Customer_ID]],Table1[Customer_ID],Table1[Customer_Name])</f>
        <v>Anjelica Usrey</v>
      </c>
    </row>
    <row r="1214" spans="1:10" x14ac:dyDescent="0.35">
      <c r="A1214" s="4">
        <v>40526</v>
      </c>
      <c r="B1214" s="2">
        <v>10353</v>
      </c>
      <c r="C1214" s="2">
        <v>48</v>
      </c>
      <c r="D1214" s="2">
        <v>6</v>
      </c>
      <c r="E1214" s="2">
        <v>53</v>
      </c>
      <c r="F1214" s="2">
        <v>2</v>
      </c>
      <c r="G1214" s="2">
        <v>3</v>
      </c>
      <c r="H1214" s="2">
        <v>3</v>
      </c>
      <c r="I1214" s="2">
        <v>0</v>
      </c>
      <c r="J1214" t="str">
        <f>_xlfn.XLOOKUP(Table2[[#This Row],[Customer_ID]],Table1[Customer_ID],Table1[Customer_Name])</f>
        <v>Anjelica Usrey</v>
      </c>
    </row>
    <row r="1215" spans="1:10" x14ac:dyDescent="0.35">
      <c r="A1215" s="4">
        <v>40528</v>
      </c>
      <c r="B1215" s="2">
        <v>10355</v>
      </c>
      <c r="C1215" s="2">
        <v>308</v>
      </c>
      <c r="D1215" s="2">
        <v>8</v>
      </c>
      <c r="E1215" s="2">
        <v>60</v>
      </c>
      <c r="F1215" s="2">
        <v>2</v>
      </c>
      <c r="G1215" s="2">
        <v>9</v>
      </c>
      <c r="H1215" s="2">
        <v>29</v>
      </c>
      <c r="I1215" s="2">
        <v>0</v>
      </c>
      <c r="J1215" t="str">
        <f>_xlfn.XLOOKUP(Table2[[#This Row],[Customer_ID]],Table1[Customer_ID],Table1[Customer_Name])</f>
        <v>Ashley Ables</v>
      </c>
    </row>
    <row r="1216" spans="1:10" x14ac:dyDescent="0.35">
      <c r="A1216" s="4">
        <v>40528</v>
      </c>
      <c r="B1216" s="2">
        <v>10355</v>
      </c>
      <c r="C1216" s="2">
        <v>218</v>
      </c>
      <c r="D1216" s="2">
        <v>8</v>
      </c>
      <c r="E1216" s="2">
        <v>60</v>
      </c>
      <c r="F1216" s="2">
        <v>2</v>
      </c>
      <c r="G1216" s="2">
        <v>9</v>
      </c>
      <c r="H1216" s="2">
        <v>5</v>
      </c>
      <c r="I1216" s="2">
        <v>0</v>
      </c>
      <c r="J1216" t="str">
        <f>_xlfn.XLOOKUP(Table2[[#This Row],[Customer_ID]],Table1[Customer_ID],Table1[Customer_Name])</f>
        <v>Ashley Ables</v>
      </c>
    </row>
    <row r="1217" spans="1:10" x14ac:dyDescent="0.35">
      <c r="A1217" s="4">
        <v>40532</v>
      </c>
      <c r="B1217" s="2">
        <v>10357</v>
      </c>
      <c r="C1217" s="2">
        <v>167</v>
      </c>
      <c r="D1217" s="2">
        <v>10</v>
      </c>
      <c r="E1217" s="2">
        <v>21</v>
      </c>
      <c r="F1217" s="2">
        <v>2</v>
      </c>
      <c r="G1217" s="2">
        <v>1</v>
      </c>
      <c r="H1217" s="2">
        <v>278</v>
      </c>
      <c r="I1217" s="2">
        <v>0</v>
      </c>
      <c r="J1217" t="str">
        <f>_xlfn.XLOOKUP(Table2[[#This Row],[Customer_ID]],Table1[Customer_ID],Table1[Customer_Name])</f>
        <v>Berniece Blakely</v>
      </c>
    </row>
    <row r="1218" spans="1:10" x14ac:dyDescent="0.35">
      <c r="A1218" s="4">
        <v>40532</v>
      </c>
      <c r="B1218" s="2">
        <v>10357</v>
      </c>
      <c r="C1218" s="2">
        <v>174</v>
      </c>
      <c r="D1218" s="2">
        <v>10</v>
      </c>
      <c r="E1218" s="2">
        <v>21</v>
      </c>
      <c r="F1218" s="2">
        <v>2</v>
      </c>
      <c r="G1218" s="2">
        <v>2</v>
      </c>
      <c r="H1218" s="2">
        <v>1486</v>
      </c>
      <c r="I1218" s="2">
        <v>0</v>
      </c>
      <c r="J1218" t="str">
        <f>_xlfn.XLOOKUP(Table2[[#This Row],[Customer_ID]],Table1[Customer_ID],Table1[Customer_Name])</f>
        <v>Berniece Blakely</v>
      </c>
    </row>
    <row r="1219" spans="1:10" x14ac:dyDescent="0.35">
      <c r="A1219" s="4">
        <v>40532</v>
      </c>
      <c r="B1219" s="2">
        <v>10357</v>
      </c>
      <c r="C1219" s="2">
        <v>435</v>
      </c>
      <c r="D1219" s="2">
        <v>10</v>
      </c>
      <c r="E1219" s="2">
        <v>21</v>
      </c>
      <c r="F1219" s="2">
        <v>2</v>
      </c>
      <c r="G1219" s="2">
        <v>2</v>
      </c>
      <c r="H1219" s="2">
        <v>10</v>
      </c>
      <c r="I1219" s="2">
        <v>0</v>
      </c>
      <c r="J1219" t="str">
        <f>_xlfn.XLOOKUP(Table2[[#This Row],[Customer_ID]],Table1[Customer_ID],Table1[Customer_Name])</f>
        <v>Berniece Blakely</v>
      </c>
    </row>
    <row r="1220" spans="1:10" x14ac:dyDescent="0.35">
      <c r="A1220" s="4">
        <v>40534</v>
      </c>
      <c r="B1220" s="2">
        <v>10359</v>
      </c>
      <c r="C1220" s="2">
        <v>239</v>
      </c>
      <c r="D1220" s="2">
        <v>12</v>
      </c>
      <c r="E1220" s="2">
        <v>63</v>
      </c>
      <c r="F1220" s="2">
        <v>2</v>
      </c>
      <c r="G1220" s="2">
        <v>2</v>
      </c>
      <c r="H1220" s="2">
        <v>20</v>
      </c>
      <c r="I1220" s="2">
        <v>0</v>
      </c>
      <c r="J1220" t="str">
        <f>_xlfn.XLOOKUP(Table2[[#This Row],[Customer_ID]],Table1[Customer_ID],Table1[Customer_Name])</f>
        <v>Brittney Edmond</v>
      </c>
    </row>
    <row r="1221" spans="1:10" x14ac:dyDescent="0.35">
      <c r="A1221" s="4">
        <v>40534</v>
      </c>
      <c r="B1221" s="2">
        <v>10359</v>
      </c>
      <c r="C1221" s="2">
        <v>173</v>
      </c>
      <c r="D1221" s="2">
        <v>12</v>
      </c>
      <c r="E1221" s="2">
        <v>63</v>
      </c>
      <c r="F1221" s="2">
        <v>2</v>
      </c>
      <c r="G1221" s="2">
        <v>1</v>
      </c>
      <c r="H1221" s="2">
        <v>205</v>
      </c>
      <c r="I1221" s="2">
        <v>0</v>
      </c>
      <c r="J1221" t="str">
        <f>_xlfn.XLOOKUP(Table2[[#This Row],[Customer_ID]],Table1[Customer_ID],Table1[Customer_Name])</f>
        <v>Brittney Edmond</v>
      </c>
    </row>
    <row r="1222" spans="1:10" x14ac:dyDescent="0.35">
      <c r="A1222" s="4">
        <v>40534</v>
      </c>
      <c r="B1222" s="2">
        <v>10359</v>
      </c>
      <c r="C1222" s="2">
        <v>175</v>
      </c>
      <c r="D1222" s="2">
        <v>12</v>
      </c>
      <c r="E1222" s="2">
        <v>63</v>
      </c>
      <c r="F1222" s="2">
        <v>2</v>
      </c>
      <c r="G1222" s="2">
        <v>6</v>
      </c>
      <c r="H1222" s="2">
        <v>270</v>
      </c>
      <c r="I1222" s="2">
        <v>0</v>
      </c>
      <c r="J1222" t="str">
        <f>_xlfn.XLOOKUP(Table2[[#This Row],[Customer_ID]],Table1[Customer_ID],Table1[Customer_Name])</f>
        <v>Brittney Edmond</v>
      </c>
    </row>
    <row r="1223" spans="1:10" x14ac:dyDescent="0.35">
      <c r="A1223" s="4">
        <v>40535</v>
      </c>
      <c r="B1223" s="2">
        <v>10361</v>
      </c>
      <c r="C1223" s="2">
        <v>347</v>
      </c>
      <c r="D1223" s="2">
        <v>14</v>
      </c>
      <c r="E1223" s="2">
        <v>34</v>
      </c>
      <c r="F1223" s="2">
        <v>2</v>
      </c>
      <c r="G1223" s="2">
        <v>1</v>
      </c>
      <c r="H1223" s="2">
        <v>5</v>
      </c>
      <c r="I1223" s="2">
        <v>0</v>
      </c>
      <c r="J1223" t="str">
        <f>_xlfn.XLOOKUP(Table2[[#This Row],[Customer_ID]],Table1[Customer_ID],Table1[Customer_Name])</f>
        <v>Cari Craw</v>
      </c>
    </row>
    <row r="1224" spans="1:10" x14ac:dyDescent="0.35">
      <c r="A1224" s="4">
        <v>40535</v>
      </c>
      <c r="B1224" s="2">
        <v>10361</v>
      </c>
      <c r="C1224" s="2">
        <v>42</v>
      </c>
      <c r="D1224" s="2">
        <v>14</v>
      </c>
      <c r="E1224" s="2">
        <v>34</v>
      </c>
      <c r="F1224" s="2">
        <v>2</v>
      </c>
      <c r="G1224" s="2">
        <v>4</v>
      </c>
      <c r="H1224" s="2">
        <v>13</v>
      </c>
      <c r="I1224" s="2">
        <v>0</v>
      </c>
      <c r="J1224" t="str">
        <f>_xlfn.XLOOKUP(Table2[[#This Row],[Customer_ID]],Table1[Customer_ID],Table1[Customer_Name])</f>
        <v>Cari Craw</v>
      </c>
    </row>
    <row r="1225" spans="1:10" x14ac:dyDescent="0.35">
      <c r="A1225" s="4">
        <v>40539</v>
      </c>
      <c r="B1225" s="2">
        <v>10363</v>
      </c>
      <c r="C1225" s="2">
        <v>253</v>
      </c>
      <c r="D1225" s="2">
        <v>16</v>
      </c>
      <c r="E1225" s="2">
        <v>38</v>
      </c>
      <c r="F1225" s="2">
        <v>2</v>
      </c>
      <c r="G1225" s="2">
        <v>9</v>
      </c>
      <c r="H1225" s="2">
        <v>3</v>
      </c>
      <c r="I1225" s="2">
        <v>0</v>
      </c>
      <c r="J1225" t="str">
        <f>_xlfn.XLOOKUP(Table2[[#This Row],[Customer_ID]],Table1[Customer_ID],Table1[Customer_Name])</f>
        <v>Casandra Flewelling</v>
      </c>
    </row>
    <row r="1226" spans="1:10" x14ac:dyDescent="0.35">
      <c r="A1226" s="4">
        <v>40539</v>
      </c>
      <c r="B1226" s="2">
        <v>10363</v>
      </c>
      <c r="C1226" s="2">
        <v>294</v>
      </c>
      <c r="D1226" s="2">
        <v>16</v>
      </c>
      <c r="E1226" s="2">
        <v>38</v>
      </c>
      <c r="F1226" s="2">
        <v>2</v>
      </c>
      <c r="G1226" s="2">
        <v>3</v>
      </c>
      <c r="H1226" s="2">
        <v>3</v>
      </c>
      <c r="I1226" s="2">
        <v>0</v>
      </c>
      <c r="J1226" t="str">
        <f>_xlfn.XLOOKUP(Table2[[#This Row],[Customer_ID]],Table1[Customer_ID],Table1[Customer_Name])</f>
        <v>Casandra Flewelling</v>
      </c>
    </row>
    <row r="1227" spans="1:10" x14ac:dyDescent="0.35">
      <c r="A1227" s="4">
        <v>40539</v>
      </c>
      <c r="B1227" s="2">
        <v>10363</v>
      </c>
      <c r="C1227" s="2">
        <v>41</v>
      </c>
      <c r="D1227" s="2">
        <v>16</v>
      </c>
      <c r="E1227" s="2">
        <v>38</v>
      </c>
      <c r="F1227" s="2">
        <v>2</v>
      </c>
      <c r="G1227" s="2">
        <v>5</v>
      </c>
      <c r="H1227" s="2">
        <v>90</v>
      </c>
      <c r="I1227" s="2">
        <v>0</v>
      </c>
      <c r="J1227" t="str">
        <f>_xlfn.XLOOKUP(Table2[[#This Row],[Customer_ID]],Table1[Customer_ID],Table1[Customer_Name])</f>
        <v>Casandra Flewelling</v>
      </c>
    </row>
    <row r="1228" spans="1:10" x14ac:dyDescent="0.35">
      <c r="A1228" s="4">
        <v>40540</v>
      </c>
      <c r="B1228" s="2">
        <v>10365</v>
      </c>
      <c r="C1228" s="2">
        <v>319</v>
      </c>
      <c r="D1228" s="2">
        <v>18</v>
      </c>
      <c r="E1228" s="2">
        <v>40</v>
      </c>
      <c r="F1228" s="2">
        <v>2</v>
      </c>
      <c r="G1228" s="2">
        <v>1</v>
      </c>
      <c r="H1228" s="2">
        <v>4</v>
      </c>
      <c r="I1228" s="2">
        <v>0</v>
      </c>
      <c r="J1228" t="str">
        <f>_xlfn.XLOOKUP(Table2[[#This Row],[Customer_ID]],Table1[Customer_ID],Table1[Customer_Name])</f>
        <v>Cecilia Crossman</v>
      </c>
    </row>
    <row r="1229" spans="1:10" x14ac:dyDescent="0.35">
      <c r="A1229" s="4">
        <v>40541</v>
      </c>
      <c r="B1229" s="2">
        <v>10367</v>
      </c>
      <c r="C1229" s="2">
        <v>418</v>
      </c>
      <c r="D1229" s="2">
        <v>20</v>
      </c>
      <c r="E1229" s="2">
        <v>43</v>
      </c>
      <c r="F1229" s="2">
        <v>2</v>
      </c>
      <c r="G1229" s="2">
        <v>9</v>
      </c>
      <c r="H1229" s="2">
        <v>20</v>
      </c>
      <c r="I1229" s="2">
        <v>0</v>
      </c>
      <c r="J1229" t="str">
        <f>_xlfn.XLOOKUP(Table2[[#This Row],[Customer_ID]],Table1[Customer_ID],Table1[Customer_Name])</f>
        <v>Chelsey Powers</v>
      </c>
    </row>
    <row r="1230" spans="1:10" x14ac:dyDescent="0.35">
      <c r="A1230" s="4">
        <v>40541</v>
      </c>
      <c r="B1230" s="2">
        <v>10367</v>
      </c>
      <c r="C1230" s="2">
        <v>351</v>
      </c>
      <c r="D1230" s="2">
        <v>20</v>
      </c>
      <c r="E1230" s="2">
        <v>43</v>
      </c>
      <c r="F1230" s="2">
        <v>2</v>
      </c>
      <c r="G1230" s="2">
        <v>1</v>
      </c>
      <c r="H1230" s="2">
        <v>66</v>
      </c>
      <c r="I1230" s="2">
        <v>0</v>
      </c>
      <c r="J1230" t="str">
        <f>_xlfn.XLOOKUP(Table2[[#This Row],[Customer_ID]],Table1[Customer_ID],Table1[Customer_Name])</f>
        <v>Chelsey Powers</v>
      </c>
    </row>
    <row r="1231" spans="1:10" x14ac:dyDescent="0.35">
      <c r="A1231" s="4">
        <v>40541</v>
      </c>
      <c r="B1231" s="2">
        <v>10367</v>
      </c>
      <c r="C1231" s="2">
        <v>290</v>
      </c>
      <c r="D1231" s="2">
        <v>20</v>
      </c>
      <c r="E1231" s="2">
        <v>43</v>
      </c>
      <c r="F1231" s="2">
        <v>2</v>
      </c>
      <c r="G1231" s="2">
        <v>5</v>
      </c>
      <c r="H1231" s="2">
        <v>9</v>
      </c>
      <c r="I1231" s="2">
        <v>0</v>
      </c>
      <c r="J1231" t="str">
        <f>_xlfn.XLOOKUP(Table2[[#This Row],[Customer_ID]],Table1[Customer_ID],Table1[Customer_Name])</f>
        <v>Chelsey Powers</v>
      </c>
    </row>
    <row r="1232" spans="1:10" x14ac:dyDescent="0.35">
      <c r="A1232" s="4">
        <v>40541</v>
      </c>
      <c r="B1232" s="2">
        <v>10367</v>
      </c>
      <c r="C1232" s="2">
        <v>360</v>
      </c>
      <c r="D1232" s="2">
        <v>20</v>
      </c>
      <c r="E1232" s="2">
        <v>43</v>
      </c>
      <c r="F1232" s="2">
        <v>2</v>
      </c>
      <c r="G1232" s="2">
        <v>5</v>
      </c>
      <c r="H1232" s="2">
        <v>45</v>
      </c>
      <c r="I1232" s="2">
        <v>0</v>
      </c>
      <c r="J1232" t="str">
        <f>_xlfn.XLOOKUP(Table2[[#This Row],[Customer_ID]],Table1[Customer_ID],Table1[Customer_Name])</f>
        <v>Chelsey Powers</v>
      </c>
    </row>
    <row r="1233" spans="1:10" x14ac:dyDescent="0.35">
      <c r="A1233" s="4">
        <v>40545</v>
      </c>
      <c r="B1233" s="2">
        <v>10369</v>
      </c>
      <c r="C1233" s="2">
        <v>66</v>
      </c>
      <c r="D1233" s="2">
        <v>22</v>
      </c>
      <c r="E1233" s="2">
        <v>48</v>
      </c>
      <c r="F1233" s="2">
        <v>2</v>
      </c>
      <c r="G1233" s="2">
        <v>1</v>
      </c>
      <c r="H1233" s="2">
        <v>5</v>
      </c>
      <c r="I1233" s="2">
        <v>0</v>
      </c>
      <c r="J1233" t="str">
        <f>_xlfn.XLOOKUP(Table2[[#This Row],[Customer_ID]],Table1[Customer_ID],Table1[Customer_Name])</f>
        <v>Colleen Coplin</v>
      </c>
    </row>
    <row r="1234" spans="1:10" x14ac:dyDescent="0.35">
      <c r="A1234" s="4">
        <v>40545</v>
      </c>
      <c r="B1234" s="2">
        <v>10369</v>
      </c>
      <c r="C1234" s="2">
        <v>52</v>
      </c>
      <c r="D1234" s="2">
        <v>22</v>
      </c>
      <c r="E1234" s="2">
        <v>48</v>
      </c>
      <c r="F1234" s="2">
        <v>2</v>
      </c>
      <c r="G1234" s="2">
        <v>1</v>
      </c>
      <c r="H1234" s="2">
        <v>5</v>
      </c>
      <c r="I1234" s="2">
        <v>0</v>
      </c>
      <c r="J1234" t="str">
        <f>_xlfn.XLOOKUP(Table2[[#This Row],[Customer_ID]],Table1[Customer_ID],Table1[Customer_Name])</f>
        <v>Colleen Coplin</v>
      </c>
    </row>
    <row r="1235" spans="1:10" x14ac:dyDescent="0.35">
      <c r="A1235" s="4">
        <v>40546</v>
      </c>
      <c r="B1235" s="2">
        <v>10371</v>
      </c>
      <c r="C1235" s="2">
        <v>9</v>
      </c>
      <c r="D1235" s="2">
        <v>24</v>
      </c>
      <c r="E1235" s="2">
        <v>59</v>
      </c>
      <c r="F1235" s="2">
        <v>2</v>
      </c>
      <c r="G1235" s="2">
        <v>5</v>
      </c>
      <c r="H1235" s="2">
        <v>336</v>
      </c>
      <c r="I1235" s="2">
        <v>0</v>
      </c>
      <c r="J1235" t="str">
        <f>_xlfn.XLOOKUP(Table2[[#This Row],[Customer_ID]],Table1[Customer_ID],Table1[Customer_Name])</f>
        <v>Corrinne Cataldo</v>
      </c>
    </row>
    <row r="1236" spans="1:10" x14ac:dyDescent="0.35">
      <c r="A1236" s="4">
        <v>40548</v>
      </c>
      <c r="B1236" s="2">
        <v>10373</v>
      </c>
      <c r="C1236" s="2">
        <v>2</v>
      </c>
      <c r="D1236" s="2">
        <v>26</v>
      </c>
      <c r="E1236" s="2">
        <v>93</v>
      </c>
      <c r="F1236" s="2">
        <v>2</v>
      </c>
      <c r="G1236" s="2">
        <v>2</v>
      </c>
      <c r="H1236" s="2">
        <v>634</v>
      </c>
      <c r="I1236" s="2">
        <v>0</v>
      </c>
      <c r="J1236" t="str">
        <f>_xlfn.XLOOKUP(Table2[[#This Row],[Customer_ID]],Table1[Customer_ID],Table1[Customer_Name])</f>
        <v>Cyndy Collie</v>
      </c>
    </row>
    <row r="1237" spans="1:10" x14ac:dyDescent="0.35">
      <c r="A1237" s="4">
        <v>40548</v>
      </c>
      <c r="B1237" s="2">
        <v>10373</v>
      </c>
      <c r="C1237" s="2">
        <v>1</v>
      </c>
      <c r="D1237" s="2">
        <v>26</v>
      </c>
      <c r="E1237" s="2">
        <v>93</v>
      </c>
      <c r="F1237" s="2">
        <v>2</v>
      </c>
      <c r="G1237" s="2">
        <v>1</v>
      </c>
      <c r="H1237" s="2">
        <v>702</v>
      </c>
      <c r="I1237" s="2">
        <v>0</v>
      </c>
      <c r="J1237" t="str">
        <f>_xlfn.XLOOKUP(Table2[[#This Row],[Customer_ID]],Table1[Customer_ID],Table1[Customer_Name])</f>
        <v>Cyndy Collie</v>
      </c>
    </row>
    <row r="1238" spans="1:10" x14ac:dyDescent="0.35">
      <c r="A1238" s="4">
        <v>40549</v>
      </c>
      <c r="B1238" s="2">
        <v>10375</v>
      </c>
      <c r="C1238" s="2">
        <v>7</v>
      </c>
      <c r="D1238" s="2">
        <v>28</v>
      </c>
      <c r="E1238" s="2">
        <v>25</v>
      </c>
      <c r="F1238" s="2">
        <v>2</v>
      </c>
      <c r="G1238" s="2">
        <v>3</v>
      </c>
      <c r="H1238" s="2">
        <v>395</v>
      </c>
      <c r="I1238" s="2">
        <v>0</v>
      </c>
      <c r="J1238" t="str">
        <f>_xlfn.XLOOKUP(Table2[[#This Row],[Customer_ID]],Table1[Customer_ID],Table1[Customer_Name])</f>
        <v>Delena Hulin</v>
      </c>
    </row>
    <row r="1239" spans="1:10" x14ac:dyDescent="0.35">
      <c r="A1239" s="4">
        <v>40549</v>
      </c>
      <c r="B1239" s="2">
        <v>10375</v>
      </c>
      <c r="C1239" s="2">
        <v>180</v>
      </c>
      <c r="D1239" s="2">
        <v>28</v>
      </c>
      <c r="E1239" s="2">
        <v>25</v>
      </c>
      <c r="F1239" s="2">
        <v>2</v>
      </c>
      <c r="G1239" s="2">
        <v>5</v>
      </c>
      <c r="H1239" s="2">
        <v>261</v>
      </c>
      <c r="I1239" s="2">
        <v>0</v>
      </c>
      <c r="J1239" t="str">
        <f>_xlfn.XLOOKUP(Table2[[#This Row],[Customer_ID]],Table1[Customer_ID],Table1[Customer_Name])</f>
        <v>Delena Hulin</v>
      </c>
    </row>
    <row r="1240" spans="1:10" x14ac:dyDescent="0.35">
      <c r="A1240" s="4">
        <v>40552</v>
      </c>
      <c r="B1240" s="2">
        <v>10377</v>
      </c>
      <c r="C1240" s="2">
        <v>179</v>
      </c>
      <c r="D1240" s="2">
        <v>30</v>
      </c>
      <c r="E1240" s="2">
        <v>33</v>
      </c>
      <c r="F1240" s="2">
        <v>2</v>
      </c>
      <c r="G1240" s="2">
        <v>1</v>
      </c>
      <c r="H1240" s="2">
        <v>425</v>
      </c>
      <c r="I1240" s="2">
        <v>0</v>
      </c>
      <c r="J1240" t="str">
        <f>_xlfn.XLOOKUP(Table2[[#This Row],[Customer_ID]],Table1[Customer_ID],Table1[Customer_Name])</f>
        <v>Dinah Trusty</v>
      </c>
    </row>
    <row r="1241" spans="1:10" x14ac:dyDescent="0.35">
      <c r="A1241" s="4">
        <v>40552</v>
      </c>
      <c r="B1241" s="2">
        <v>10377</v>
      </c>
      <c r="C1241" s="2">
        <v>183</v>
      </c>
      <c r="D1241" s="2">
        <v>30</v>
      </c>
      <c r="E1241" s="2">
        <v>33</v>
      </c>
      <c r="F1241" s="2">
        <v>2</v>
      </c>
      <c r="G1241" s="2">
        <v>7</v>
      </c>
      <c r="H1241" s="2">
        <v>370</v>
      </c>
      <c r="I1241" s="2">
        <v>0</v>
      </c>
      <c r="J1241" t="str">
        <f>_xlfn.XLOOKUP(Table2[[#This Row],[Customer_ID]],Table1[Customer_ID],Table1[Customer_Name])</f>
        <v>Dinah Trusty</v>
      </c>
    </row>
    <row r="1242" spans="1:10" x14ac:dyDescent="0.35">
      <c r="A1242" s="4">
        <v>40554</v>
      </c>
      <c r="B1242" s="2">
        <v>10379</v>
      </c>
      <c r="C1242" s="2">
        <v>77</v>
      </c>
      <c r="D1242" s="2">
        <v>32</v>
      </c>
      <c r="E1242" s="2">
        <v>35</v>
      </c>
      <c r="F1242" s="2">
        <v>2</v>
      </c>
      <c r="G1242" s="2">
        <v>2</v>
      </c>
      <c r="H1242" s="2">
        <v>13</v>
      </c>
      <c r="I1242" s="2">
        <v>0</v>
      </c>
      <c r="J1242" t="str">
        <f>_xlfn.XLOOKUP(Table2[[#This Row],[Customer_ID]],Table1[Customer_ID],Table1[Customer_Name])</f>
        <v>Doretha Mcmunn</v>
      </c>
    </row>
    <row r="1243" spans="1:10" x14ac:dyDescent="0.35">
      <c r="A1243" s="4">
        <v>40554</v>
      </c>
      <c r="B1243" s="2">
        <v>10379</v>
      </c>
      <c r="C1243" s="2">
        <v>72</v>
      </c>
      <c r="D1243" s="2">
        <v>32</v>
      </c>
      <c r="E1243" s="2">
        <v>35</v>
      </c>
      <c r="F1243" s="2">
        <v>2</v>
      </c>
      <c r="G1243" s="2">
        <v>6</v>
      </c>
      <c r="H1243" s="2">
        <v>6</v>
      </c>
      <c r="I1243" s="2">
        <v>0</v>
      </c>
      <c r="J1243" t="str">
        <f>_xlfn.XLOOKUP(Table2[[#This Row],[Customer_ID]],Table1[Customer_ID],Table1[Customer_Name])</f>
        <v>Doretha Mcmunn</v>
      </c>
    </row>
    <row r="1244" spans="1:10" x14ac:dyDescent="0.35">
      <c r="A1244" s="4">
        <v>40554</v>
      </c>
      <c r="B1244" s="2">
        <v>10379</v>
      </c>
      <c r="C1244" s="2">
        <v>84</v>
      </c>
      <c r="D1244" s="2">
        <v>32</v>
      </c>
      <c r="E1244" s="2">
        <v>35</v>
      </c>
      <c r="F1244" s="2">
        <v>2</v>
      </c>
      <c r="G1244" s="2">
        <v>3</v>
      </c>
      <c r="H1244" s="2">
        <v>6</v>
      </c>
      <c r="I1244" s="2">
        <v>0</v>
      </c>
      <c r="J1244" t="str">
        <f>_xlfn.XLOOKUP(Table2[[#This Row],[Customer_ID]],Table1[Customer_ID],Table1[Customer_Name])</f>
        <v>Doretha Mcmunn</v>
      </c>
    </row>
    <row r="1245" spans="1:10" x14ac:dyDescent="0.35">
      <c r="A1245" s="4">
        <v>40555</v>
      </c>
      <c r="B1245" s="2">
        <v>10381</v>
      </c>
      <c r="C1245" s="2">
        <v>125</v>
      </c>
      <c r="D1245" s="2">
        <v>34</v>
      </c>
      <c r="E1245" s="2">
        <v>96</v>
      </c>
      <c r="F1245" s="2">
        <v>2</v>
      </c>
      <c r="G1245" s="2">
        <v>4</v>
      </c>
      <c r="H1245" s="2">
        <v>930</v>
      </c>
      <c r="I1245" s="2">
        <v>0</v>
      </c>
      <c r="J1245" t="str">
        <f>_xlfn.XLOOKUP(Table2[[#This Row],[Customer_ID]],Table1[Customer_ID],Table1[Customer_Name])</f>
        <v>Duane Dopp</v>
      </c>
    </row>
    <row r="1246" spans="1:10" x14ac:dyDescent="0.35">
      <c r="A1246" s="4">
        <v>40559</v>
      </c>
      <c r="B1246" s="2">
        <v>10383</v>
      </c>
      <c r="C1246" s="2">
        <v>82</v>
      </c>
      <c r="D1246" s="2">
        <v>36</v>
      </c>
      <c r="E1246" s="2">
        <v>55</v>
      </c>
      <c r="F1246" s="2">
        <v>2</v>
      </c>
      <c r="G1246" s="2">
        <v>7</v>
      </c>
      <c r="H1246" s="2">
        <v>29</v>
      </c>
      <c r="I1246" s="2">
        <v>0</v>
      </c>
      <c r="J1246" t="str">
        <f>_xlfn.XLOOKUP(Table2[[#This Row],[Customer_ID]],Table1[Customer_ID],Table1[Customer_Name])</f>
        <v>Earnestine Heidenreich</v>
      </c>
    </row>
    <row r="1247" spans="1:10" x14ac:dyDescent="0.35">
      <c r="A1247" s="4">
        <v>40559</v>
      </c>
      <c r="B1247" s="2">
        <v>10383</v>
      </c>
      <c r="C1247" s="2">
        <v>70</v>
      </c>
      <c r="D1247" s="2">
        <v>36</v>
      </c>
      <c r="E1247" s="2">
        <v>55</v>
      </c>
      <c r="F1247" s="2">
        <v>2</v>
      </c>
      <c r="G1247" s="2">
        <v>4</v>
      </c>
      <c r="H1247" s="2">
        <v>6</v>
      </c>
      <c r="I1247" s="2">
        <v>0</v>
      </c>
      <c r="J1247" t="str">
        <f>_xlfn.XLOOKUP(Table2[[#This Row],[Customer_ID]],Table1[Customer_ID],Table1[Customer_Name])</f>
        <v>Earnestine Heidenreich</v>
      </c>
    </row>
    <row r="1248" spans="1:10" x14ac:dyDescent="0.35">
      <c r="A1248" s="4">
        <v>40559</v>
      </c>
      <c r="B1248" s="2">
        <v>10383</v>
      </c>
      <c r="C1248" s="2">
        <v>73</v>
      </c>
      <c r="D1248" s="2">
        <v>36</v>
      </c>
      <c r="E1248" s="2">
        <v>55</v>
      </c>
      <c r="F1248" s="2">
        <v>2</v>
      </c>
      <c r="G1248" s="2">
        <v>2</v>
      </c>
      <c r="H1248" s="2">
        <v>5</v>
      </c>
      <c r="I1248" s="2">
        <v>0</v>
      </c>
      <c r="J1248" t="str">
        <f>_xlfn.XLOOKUP(Table2[[#This Row],[Customer_ID]],Table1[Customer_ID],Table1[Customer_Name])</f>
        <v>Earnestine Heidenreich</v>
      </c>
    </row>
    <row r="1249" spans="1:10" x14ac:dyDescent="0.35">
      <c r="A1249" s="4">
        <v>40560</v>
      </c>
      <c r="B1249" s="2">
        <v>10385</v>
      </c>
      <c r="C1249" s="2">
        <v>195</v>
      </c>
      <c r="D1249" s="2">
        <v>38</v>
      </c>
      <c r="E1249" s="2">
        <v>60</v>
      </c>
      <c r="F1249" s="2">
        <v>2</v>
      </c>
      <c r="G1249" s="2">
        <v>2</v>
      </c>
      <c r="H1249" s="2">
        <v>6</v>
      </c>
      <c r="I1249" s="2">
        <v>0</v>
      </c>
      <c r="J1249" t="str">
        <f>_xlfn.XLOOKUP(Table2[[#This Row],[Customer_ID]],Table1[Customer_ID],Table1[Customer_Name])</f>
        <v>Edison Littell</v>
      </c>
    </row>
    <row r="1250" spans="1:10" x14ac:dyDescent="0.35">
      <c r="A1250" s="4">
        <v>40560</v>
      </c>
      <c r="B1250" s="2">
        <v>10385</v>
      </c>
      <c r="C1250" s="2">
        <v>252</v>
      </c>
      <c r="D1250" s="2">
        <v>38</v>
      </c>
      <c r="E1250" s="2">
        <v>60</v>
      </c>
      <c r="F1250" s="2">
        <v>2</v>
      </c>
      <c r="G1250" s="2">
        <v>6</v>
      </c>
      <c r="H1250" s="2">
        <v>27</v>
      </c>
      <c r="I1250" s="2">
        <v>0</v>
      </c>
      <c r="J1250" t="str">
        <f>_xlfn.XLOOKUP(Table2[[#This Row],[Customer_ID]],Table1[Customer_ID],Table1[Customer_Name])</f>
        <v>Edison Littell</v>
      </c>
    </row>
    <row r="1251" spans="1:10" x14ac:dyDescent="0.35">
      <c r="A1251" s="4">
        <v>40560</v>
      </c>
      <c r="B1251" s="2">
        <v>10385</v>
      </c>
      <c r="C1251" s="2">
        <v>299</v>
      </c>
      <c r="D1251" s="2">
        <v>38</v>
      </c>
      <c r="E1251" s="2">
        <v>60</v>
      </c>
      <c r="F1251" s="2">
        <v>2</v>
      </c>
      <c r="G1251" s="2">
        <v>1</v>
      </c>
      <c r="H1251" s="2">
        <v>3</v>
      </c>
      <c r="I1251" s="2">
        <v>0</v>
      </c>
      <c r="J1251" t="str">
        <f>_xlfn.XLOOKUP(Table2[[#This Row],[Customer_ID]],Table1[Customer_ID],Table1[Customer_Name])</f>
        <v>Edison Littell</v>
      </c>
    </row>
    <row r="1252" spans="1:10" x14ac:dyDescent="0.35">
      <c r="A1252" s="4">
        <v>40561</v>
      </c>
      <c r="B1252" s="2">
        <v>10387</v>
      </c>
      <c r="C1252" s="2">
        <v>386</v>
      </c>
      <c r="D1252" s="2">
        <v>40</v>
      </c>
      <c r="E1252" s="2">
        <v>16</v>
      </c>
      <c r="F1252" s="2">
        <v>2</v>
      </c>
      <c r="G1252" s="2">
        <v>1</v>
      </c>
      <c r="H1252" s="2">
        <v>15</v>
      </c>
      <c r="I1252" s="2">
        <v>0</v>
      </c>
      <c r="J1252" t="str">
        <f>_xlfn.XLOOKUP(Table2[[#This Row],[Customer_ID]],Table1[Customer_ID],Table1[Customer_Name])</f>
        <v>Eleonora Eddinger</v>
      </c>
    </row>
    <row r="1253" spans="1:10" x14ac:dyDescent="0.35">
      <c r="A1253" s="4">
        <v>40561</v>
      </c>
      <c r="B1253" s="2">
        <v>10387</v>
      </c>
      <c r="C1253" s="2">
        <v>417</v>
      </c>
      <c r="D1253" s="2">
        <v>40</v>
      </c>
      <c r="E1253" s="2">
        <v>16</v>
      </c>
      <c r="F1253" s="2">
        <v>2</v>
      </c>
      <c r="G1253" s="2">
        <v>5</v>
      </c>
      <c r="H1253" s="2">
        <v>20</v>
      </c>
      <c r="I1253" s="2">
        <v>0</v>
      </c>
      <c r="J1253" t="str">
        <f>_xlfn.XLOOKUP(Table2[[#This Row],[Customer_ID]],Table1[Customer_ID],Table1[Customer_Name])</f>
        <v>Eleonora Eddinger</v>
      </c>
    </row>
    <row r="1254" spans="1:10" x14ac:dyDescent="0.35">
      <c r="A1254" s="4">
        <v>40561</v>
      </c>
      <c r="B1254" s="2">
        <v>10387</v>
      </c>
      <c r="C1254" s="2">
        <v>396</v>
      </c>
      <c r="D1254" s="2">
        <v>40</v>
      </c>
      <c r="E1254" s="2">
        <v>16</v>
      </c>
      <c r="F1254" s="2">
        <v>2</v>
      </c>
      <c r="G1254" s="2">
        <v>5</v>
      </c>
      <c r="H1254" s="2">
        <v>15</v>
      </c>
      <c r="I1254" s="2">
        <v>0</v>
      </c>
      <c r="J1254" t="str">
        <f>_xlfn.XLOOKUP(Table2[[#This Row],[Customer_ID]],Table1[Customer_ID],Table1[Customer_Name])</f>
        <v>Eleonora Eddinger</v>
      </c>
    </row>
    <row r="1255" spans="1:10" x14ac:dyDescent="0.35">
      <c r="A1255" s="4">
        <v>40561</v>
      </c>
      <c r="B1255" s="2">
        <v>10387</v>
      </c>
      <c r="C1255" s="2">
        <v>388</v>
      </c>
      <c r="D1255" s="2">
        <v>40</v>
      </c>
      <c r="E1255" s="2">
        <v>16</v>
      </c>
      <c r="F1255" s="2">
        <v>2</v>
      </c>
      <c r="G1255" s="2">
        <v>2</v>
      </c>
      <c r="H1255" s="2">
        <v>15</v>
      </c>
      <c r="I1255" s="2">
        <v>0</v>
      </c>
      <c r="J1255" t="str">
        <f>_xlfn.XLOOKUP(Table2[[#This Row],[Customer_ID]],Table1[Customer_ID],Table1[Customer_Name])</f>
        <v>Eleonora Eddinger</v>
      </c>
    </row>
    <row r="1256" spans="1:10" x14ac:dyDescent="0.35">
      <c r="A1256" s="4">
        <v>40563</v>
      </c>
      <c r="B1256" s="2">
        <v>10389</v>
      </c>
      <c r="C1256" s="2">
        <v>39</v>
      </c>
      <c r="D1256" s="2">
        <v>42</v>
      </c>
      <c r="E1256" s="2">
        <v>85</v>
      </c>
      <c r="F1256" s="2">
        <v>2</v>
      </c>
      <c r="G1256" s="2">
        <v>2</v>
      </c>
      <c r="H1256" s="2">
        <v>21</v>
      </c>
      <c r="I1256" s="2">
        <v>0</v>
      </c>
      <c r="J1256" t="str">
        <f>_xlfn.XLOOKUP(Table2[[#This Row],[Customer_ID]],Table1[Customer_ID],Table1[Customer_Name])</f>
        <v>Eliseo Mangual</v>
      </c>
    </row>
    <row r="1257" spans="1:10" x14ac:dyDescent="0.35">
      <c r="A1257" s="4">
        <v>40563</v>
      </c>
      <c r="B1257" s="2">
        <v>10389</v>
      </c>
      <c r="C1257" s="2">
        <v>412</v>
      </c>
      <c r="D1257" s="2">
        <v>42</v>
      </c>
      <c r="E1257" s="2">
        <v>85</v>
      </c>
      <c r="F1257" s="2">
        <v>2</v>
      </c>
      <c r="G1257" s="2">
        <v>4</v>
      </c>
      <c r="H1257" s="2">
        <v>20</v>
      </c>
      <c r="I1257" s="2">
        <v>0</v>
      </c>
      <c r="J1257" t="str">
        <f>_xlfn.XLOOKUP(Table2[[#This Row],[Customer_ID]],Table1[Customer_ID],Table1[Customer_Name])</f>
        <v>Eliseo Mangual</v>
      </c>
    </row>
    <row r="1258" spans="1:10" x14ac:dyDescent="0.35">
      <c r="A1258" s="4">
        <v>40563</v>
      </c>
      <c r="B1258" s="2">
        <v>10389</v>
      </c>
      <c r="C1258" s="2">
        <v>208</v>
      </c>
      <c r="D1258" s="2">
        <v>42</v>
      </c>
      <c r="E1258" s="2">
        <v>85</v>
      </c>
      <c r="F1258" s="2">
        <v>2</v>
      </c>
      <c r="G1258" s="2">
        <v>2</v>
      </c>
      <c r="H1258" s="2">
        <v>4</v>
      </c>
      <c r="I1258" s="2">
        <v>0</v>
      </c>
      <c r="J1258" t="str">
        <f>_xlfn.XLOOKUP(Table2[[#This Row],[Customer_ID]],Table1[Customer_ID],Table1[Customer_Name])</f>
        <v>Eliseo Mangual</v>
      </c>
    </row>
    <row r="1259" spans="1:10" x14ac:dyDescent="0.35">
      <c r="A1259" s="4">
        <v>40563</v>
      </c>
      <c r="B1259" s="2">
        <v>10389</v>
      </c>
      <c r="C1259" s="2">
        <v>207</v>
      </c>
      <c r="D1259" s="2">
        <v>42</v>
      </c>
      <c r="E1259" s="2">
        <v>85</v>
      </c>
      <c r="F1259" s="2">
        <v>2</v>
      </c>
      <c r="G1259" s="2">
        <v>1</v>
      </c>
      <c r="H1259" s="2">
        <v>4</v>
      </c>
      <c r="I1259" s="2">
        <v>0</v>
      </c>
      <c r="J1259" t="str">
        <f>_xlfn.XLOOKUP(Table2[[#This Row],[Customer_ID]],Table1[Customer_ID],Table1[Customer_Name])</f>
        <v>Eliseo Mangual</v>
      </c>
    </row>
    <row r="1260" spans="1:10" x14ac:dyDescent="0.35">
      <c r="A1260" s="4">
        <v>40566</v>
      </c>
      <c r="B1260" s="2">
        <v>10391</v>
      </c>
      <c r="C1260" s="2">
        <v>160</v>
      </c>
      <c r="D1260" s="2">
        <v>44</v>
      </c>
      <c r="E1260" s="2">
        <v>12</v>
      </c>
      <c r="F1260" s="2">
        <v>2</v>
      </c>
      <c r="G1260" s="2">
        <v>3</v>
      </c>
      <c r="H1260" s="2">
        <v>1420</v>
      </c>
      <c r="I1260" s="2">
        <v>0</v>
      </c>
      <c r="J1260" t="str">
        <f>_xlfn.XLOOKUP(Table2[[#This Row],[Customer_ID]],Table1[Customer_ID],Table1[Customer_Name])</f>
        <v>Eura Gordan</v>
      </c>
    </row>
    <row r="1261" spans="1:10" x14ac:dyDescent="0.35">
      <c r="A1261" s="4">
        <v>40568</v>
      </c>
      <c r="B1261" s="2">
        <v>10393</v>
      </c>
      <c r="C1261" s="2">
        <v>65</v>
      </c>
      <c r="D1261" s="2">
        <v>46</v>
      </c>
      <c r="E1261" s="2">
        <v>2</v>
      </c>
      <c r="F1261" s="2">
        <v>2</v>
      </c>
      <c r="G1261" s="2">
        <v>8</v>
      </c>
      <c r="H1261" s="2">
        <v>20</v>
      </c>
      <c r="I1261" s="2">
        <v>0</v>
      </c>
      <c r="J1261" t="str">
        <f>_xlfn.XLOOKUP(Table2[[#This Row],[Customer_ID]],Table1[Customer_ID],Table1[Customer_Name])</f>
        <v>Fay Cumbo</v>
      </c>
    </row>
    <row r="1262" spans="1:10" x14ac:dyDescent="0.35">
      <c r="A1262" s="4">
        <v>40568</v>
      </c>
      <c r="B1262" s="2">
        <v>10393</v>
      </c>
      <c r="C1262" s="2">
        <v>133</v>
      </c>
      <c r="D1262" s="2">
        <v>46</v>
      </c>
      <c r="E1262" s="2">
        <v>2</v>
      </c>
      <c r="F1262" s="2">
        <v>2</v>
      </c>
      <c r="G1262" s="2">
        <v>2</v>
      </c>
      <c r="H1262" s="2">
        <v>95</v>
      </c>
      <c r="I1262" s="2">
        <v>0</v>
      </c>
      <c r="J1262" t="str">
        <f>_xlfn.XLOOKUP(Table2[[#This Row],[Customer_ID]],Table1[Customer_ID],Table1[Customer_Name])</f>
        <v>Fay Cumbo</v>
      </c>
    </row>
    <row r="1263" spans="1:10" x14ac:dyDescent="0.35">
      <c r="A1263" s="4">
        <v>40568</v>
      </c>
      <c r="B1263" s="2">
        <v>10393</v>
      </c>
      <c r="C1263" s="2">
        <v>139</v>
      </c>
      <c r="D1263" s="2">
        <v>46</v>
      </c>
      <c r="E1263" s="2">
        <v>2</v>
      </c>
      <c r="F1263" s="2">
        <v>2</v>
      </c>
      <c r="G1263" s="2">
        <v>5</v>
      </c>
      <c r="H1263" s="2">
        <v>232</v>
      </c>
      <c r="I1263" s="2">
        <v>0</v>
      </c>
      <c r="J1263" t="str">
        <f>_xlfn.XLOOKUP(Table2[[#This Row],[Customer_ID]],Table1[Customer_ID],Table1[Customer_Name])</f>
        <v>Fay Cumbo</v>
      </c>
    </row>
    <row r="1264" spans="1:10" x14ac:dyDescent="0.35">
      <c r="A1264" s="4">
        <v>40568</v>
      </c>
      <c r="B1264" s="2">
        <v>10393</v>
      </c>
      <c r="C1264" s="2">
        <v>146</v>
      </c>
      <c r="D1264" s="2">
        <v>46</v>
      </c>
      <c r="E1264" s="2">
        <v>2</v>
      </c>
      <c r="F1264" s="2">
        <v>2</v>
      </c>
      <c r="G1264" s="2">
        <v>4</v>
      </c>
      <c r="H1264" s="2">
        <v>433</v>
      </c>
      <c r="I1264" s="2">
        <v>0</v>
      </c>
      <c r="J1264" t="str">
        <f>_xlfn.XLOOKUP(Table2[[#This Row],[Customer_ID]],Table1[Customer_ID],Table1[Customer_Name])</f>
        <v>Fay Cumbo</v>
      </c>
    </row>
    <row r="1265" spans="1:10" x14ac:dyDescent="0.35">
      <c r="A1265" s="4">
        <v>40568</v>
      </c>
      <c r="B1265" s="2">
        <v>10393</v>
      </c>
      <c r="C1265" s="2">
        <v>144</v>
      </c>
      <c r="D1265" s="2">
        <v>46</v>
      </c>
      <c r="E1265" s="2">
        <v>2</v>
      </c>
      <c r="F1265" s="2">
        <v>2</v>
      </c>
      <c r="G1265" s="2">
        <v>2</v>
      </c>
      <c r="H1265" s="2">
        <v>81</v>
      </c>
      <c r="I1265" s="2">
        <v>0</v>
      </c>
      <c r="J1265" t="str">
        <f>_xlfn.XLOOKUP(Table2[[#This Row],[Customer_ID]],Table1[Customer_ID],Table1[Customer_Name])</f>
        <v>Fay Cumbo</v>
      </c>
    </row>
    <row r="1266" spans="1:10" x14ac:dyDescent="0.35">
      <c r="A1266" s="4">
        <v>40569</v>
      </c>
      <c r="B1266" s="2">
        <v>10395</v>
      </c>
      <c r="C1266" s="2">
        <v>141</v>
      </c>
      <c r="D1266" s="2">
        <v>48</v>
      </c>
      <c r="E1266" s="2">
        <v>18</v>
      </c>
      <c r="F1266" s="2">
        <v>2</v>
      </c>
      <c r="G1266" s="2">
        <v>9</v>
      </c>
      <c r="H1266" s="2">
        <v>180</v>
      </c>
      <c r="I1266" s="2">
        <v>0</v>
      </c>
      <c r="J1266" t="str">
        <f>_xlfn.XLOOKUP(Table2[[#This Row],[Customer_ID]],Table1[Customer_ID],Table1[Customer_Name])</f>
        <v>Federico Flores</v>
      </c>
    </row>
    <row r="1267" spans="1:10" x14ac:dyDescent="0.35">
      <c r="A1267" s="4">
        <v>40569</v>
      </c>
      <c r="B1267" s="2">
        <v>10395</v>
      </c>
      <c r="C1267" s="2">
        <v>143</v>
      </c>
      <c r="D1267" s="2">
        <v>48</v>
      </c>
      <c r="E1267" s="2">
        <v>18</v>
      </c>
      <c r="F1267" s="2">
        <v>2</v>
      </c>
      <c r="G1267" s="2">
        <v>7</v>
      </c>
      <c r="H1267" s="2">
        <v>158</v>
      </c>
      <c r="I1267" s="2">
        <v>0</v>
      </c>
      <c r="J1267" t="str">
        <f>_xlfn.XLOOKUP(Table2[[#This Row],[Customer_ID]],Table1[Customer_ID],Table1[Customer_Name])</f>
        <v>Federico Flores</v>
      </c>
    </row>
    <row r="1268" spans="1:10" x14ac:dyDescent="0.35">
      <c r="A1268" s="4">
        <v>40569</v>
      </c>
      <c r="B1268" s="2">
        <v>10395</v>
      </c>
      <c r="C1268" s="2">
        <v>169</v>
      </c>
      <c r="D1268" s="2">
        <v>48</v>
      </c>
      <c r="E1268" s="2">
        <v>18</v>
      </c>
      <c r="F1268" s="2">
        <v>2</v>
      </c>
      <c r="G1268" s="2">
        <v>2</v>
      </c>
      <c r="H1268" s="2">
        <v>204</v>
      </c>
      <c r="I1268" s="2">
        <v>0</v>
      </c>
      <c r="J1268" t="str">
        <f>_xlfn.XLOOKUP(Table2[[#This Row],[Customer_ID]],Table1[Customer_ID],Table1[Customer_Name])</f>
        <v>Federico Flores</v>
      </c>
    </row>
    <row r="1269" spans="1:10" x14ac:dyDescent="0.35">
      <c r="A1269" s="4">
        <v>40570</v>
      </c>
      <c r="B1269" s="2">
        <v>10397</v>
      </c>
      <c r="C1269" s="2">
        <v>83</v>
      </c>
      <c r="D1269" s="2">
        <v>50</v>
      </c>
      <c r="E1269" s="2">
        <v>82</v>
      </c>
      <c r="F1269" s="2">
        <v>2</v>
      </c>
      <c r="G1269" s="2">
        <v>3</v>
      </c>
      <c r="H1269" s="2">
        <v>6</v>
      </c>
      <c r="I1269" s="2">
        <v>0</v>
      </c>
      <c r="J1269" t="str">
        <f>_xlfn.XLOOKUP(Table2[[#This Row],[Customer_ID]],Table1[Customer_ID],Table1[Customer_Name])</f>
        <v>Gia Junkin</v>
      </c>
    </row>
    <row r="1270" spans="1:10" x14ac:dyDescent="0.35">
      <c r="A1270" s="4">
        <v>40570</v>
      </c>
      <c r="B1270" s="2">
        <v>10397</v>
      </c>
      <c r="C1270" s="2">
        <v>88</v>
      </c>
      <c r="D1270" s="2">
        <v>50</v>
      </c>
      <c r="E1270" s="2">
        <v>82</v>
      </c>
      <c r="F1270" s="2">
        <v>2</v>
      </c>
      <c r="G1270" s="2">
        <v>8</v>
      </c>
      <c r="H1270" s="2">
        <v>16</v>
      </c>
      <c r="I1270" s="2">
        <v>0</v>
      </c>
      <c r="J1270" t="str">
        <f>_xlfn.XLOOKUP(Table2[[#This Row],[Customer_ID]],Table1[Customer_ID],Table1[Customer_Name])</f>
        <v>Gia Junkin</v>
      </c>
    </row>
    <row r="1271" spans="1:10" x14ac:dyDescent="0.35">
      <c r="A1271" s="4">
        <v>40574</v>
      </c>
      <c r="B1271" s="2">
        <v>10399</v>
      </c>
      <c r="C1271" s="2">
        <v>206</v>
      </c>
      <c r="D1271" s="2">
        <v>52</v>
      </c>
      <c r="E1271" s="2">
        <v>32</v>
      </c>
      <c r="F1271" s="2">
        <v>2</v>
      </c>
      <c r="G1271" s="2">
        <v>2</v>
      </c>
      <c r="H1271" s="2">
        <v>6</v>
      </c>
      <c r="I1271" s="2">
        <v>0</v>
      </c>
      <c r="J1271" t="str">
        <f>_xlfn.XLOOKUP(Table2[[#This Row],[Customer_ID]],Table1[Customer_ID],Table1[Customer_Name])</f>
        <v>Glennis Going</v>
      </c>
    </row>
    <row r="1272" spans="1:10" x14ac:dyDescent="0.35">
      <c r="A1272" s="4">
        <v>40574</v>
      </c>
      <c r="B1272" s="2">
        <v>10399</v>
      </c>
      <c r="C1272" s="2">
        <v>354</v>
      </c>
      <c r="D1272" s="2">
        <v>52</v>
      </c>
      <c r="E1272" s="2">
        <v>32</v>
      </c>
      <c r="F1272" s="2">
        <v>2</v>
      </c>
      <c r="G1272" s="2">
        <v>3</v>
      </c>
      <c r="H1272" s="2">
        <v>45</v>
      </c>
      <c r="I1272" s="2">
        <v>0</v>
      </c>
      <c r="J1272" t="str">
        <f>_xlfn.XLOOKUP(Table2[[#This Row],[Customer_ID]],Table1[Customer_ID],Table1[Customer_Name])</f>
        <v>Glennis Going</v>
      </c>
    </row>
    <row r="1273" spans="1:10" x14ac:dyDescent="0.35">
      <c r="A1273" s="4">
        <v>40574</v>
      </c>
      <c r="B1273" s="2">
        <v>10399</v>
      </c>
      <c r="C1273" s="2">
        <v>47</v>
      </c>
      <c r="D1273" s="2">
        <v>52</v>
      </c>
      <c r="E1273" s="2">
        <v>32</v>
      </c>
      <c r="F1273" s="2">
        <v>2</v>
      </c>
      <c r="G1273" s="2">
        <v>2</v>
      </c>
      <c r="H1273" s="2">
        <v>66</v>
      </c>
      <c r="I1273" s="2">
        <v>0</v>
      </c>
      <c r="J1273" t="str">
        <f>_xlfn.XLOOKUP(Table2[[#This Row],[Customer_ID]],Table1[Customer_ID],Table1[Customer_Name])</f>
        <v>Glennis Going</v>
      </c>
    </row>
    <row r="1274" spans="1:10" x14ac:dyDescent="0.35">
      <c r="A1274" s="4">
        <v>40574</v>
      </c>
      <c r="B1274" s="2">
        <v>10399</v>
      </c>
      <c r="C1274" s="2">
        <v>210</v>
      </c>
      <c r="D1274" s="2">
        <v>52</v>
      </c>
      <c r="E1274" s="2">
        <v>32</v>
      </c>
      <c r="F1274" s="2">
        <v>2</v>
      </c>
      <c r="G1274" s="2">
        <v>1</v>
      </c>
      <c r="H1274" s="2">
        <v>6</v>
      </c>
      <c r="I1274" s="2">
        <v>0</v>
      </c>
      <c r="J1274" t="str">
        <f>_xlfn.XLOOKUP(Table2[[#This Row],[Customer_ID]],Table1[Customer_ID],Table1[Customer_Name])</f>
        <v>Glennis Going</v>
      </c>
    </row>
    <row r="1275" spans="1:10" x14ac:dyDescent="0.35">
      <c r="A1275" s="4">
        <v>40575</v>
      </c>
      <c r="B1275" s="2">
        <v>10401</v>
      </c>
      <c r="C1275" s="2">
        <v>330</v>
      </c>
      <c r="D1275" s="2">
        <v>54</v>
      </c>
      <c r="E1275" s="2">
        <v>42</v>
      </c>
      <c r="F1275" s="2">
        <v>2</v>
      </c>
      <c r="G1275" s="2">
        <v>1</v>
      </c>
      <c r="H1275" s="2">
        <v>23</v>
      </c>
      <c r="I1275" s="2">
        <v>0</v>
      </c>
      <c r="J1275" t="str">
        <f>_xlfn.XLOOKUP(Table2[[#This Row],[Customer_ID]],Table1[Customer_ID],Table1[Customer_Name])</f>
        <v>Harmony Burell</v>
      </c>
    </row>
    <row r="1276" spans="1:10" x14ac:dyDescent="0.35">
      <c r="A1276" s="4">
        <v>40575</v>
      </c>
      <c r="B1276" s="2">
        <v>10401</v>
      </c>
      <c r="C1276" s="2">
        <v>222</v>
      </c>
      <c r="D1276" s="2">
        <v>54</v>
      </c>
      <c r="E1276" s="2">
        <v>42</v>
      </c>
      <c r="F1276" s="2">
        <v>2</v>
      </c>
      <c r="G1276" s="2">
        <v>5</v>
      </c>
      <c r="H1276" s="2">
        <v>4</v>
      </c>
      <c r="I1276" s="2">
        <v>0</v>
      </c>
      <c r="J1276" t="str">
        <f>_xlfn.XLOOKUP(Table2[[#This Row],[Customer_ID]],Table1[Customer_ID],Table1[Customer_Name])</f>
        <v>Harmony Burell</v>
      </c>
    </row>
    <row r="1277" spans="1:10" x14ac:dyDescent="0.35">
      <c r="A1277" s="4">
        <v>40575</v>
      </c>
      <c r="B1277" s="2">
        <v>10401</v>
      </c>
      <c r="C1277" s="2">
        <v>198</v>
      </c>
      <c r="D1277" s="2">
        <v>54</v>
      </c>
      <c r="E1277" s="2">
        <v>42</v>
      </c>
      <c r="F1277" s="2">
        <v>2</v>
      </c>
      <c r="G1277" s="2">
        <v>5</v>
      </c>
      <c r="H1277" s="2">
        <v>3</v>
      </c>
      <c r="I1277" s="2">
        <v>0</v>
      </c>
      <c r="J1277" t="str">
        <f>_xlfn.XLOOKUP(Table2[[#This Row],[Customer_ID]],Table1[Customer_ID],Table1[Customer_Name])</f>
        <v>Harmony Burell</v>
      </c>
    </row>
    <row r="1278" spans="1:10" x14ac:dyDescent="0.35">
      <c r="A1278" s="4">
        <v>40575</v>
      </c>
      <c r="B1278" s="2">
        <v>10401</v>
      </c>
      <c r="C1278" s="2">
        <v>332</v>
      </c>
      <c r="D1278" s="2">
        <v>54</v>
      </c>
      <c r="E1278" s="2">
        <v>42</v>
      </c>
      <c r="F1278" s="2">
        <v>2</v>
      </c>
      <c r="G1278" s="2">
        <v>2</v>
      </c>
      <c r="H1278" s="2">
        <v>78</v>
      </c>
      <c r="I1278" s="2">
        <v>0</v>
      </c>
      <c r="J1278" t="str">
        <f>_xlfn.XLOOKUP(Table2[[#This Row],[Customer_ID]],Table1[Customer_ID],Table1[Customer_Name])</f>
        <v>Harmony Burell</v>
      </c>
    </row>
    <row r="1279" spans="1:10" x14ac:dyDescent="0.35">
      <c r="A1279" s="4">
        <v>40577</v>
      </c>
      <c r="B1279" s="2">
        <v>10403</v>
      </c>
      <c r="C1279" s="2">
        <v>298</v>
      </c>
      <c r="D1279" s="2">
        <v>56</v>
      </c>
      <c r="E1279" s="2">
        <v>50</v>
      </c>
      <c r="F1279" s="2">
        <v>2</v>
      </c>
      <c r="G1279" s="2">
        <v>2</v>
      </c>
      <c r="H1279" s="2">
        <v>4</v>
      </c>
      <c r="I1279" s="2">
        <v>0</v>
      </c>
      <c r="J1279" t="str">
        <f>_xlfn.XLOOKUP(Table2[[#This Row],[Customer_ID]],Table1[Customer_ID],Table1[Customer_Name])</f>
        <v>Hsiu Hinrichs</v>
      </c>
    </row>
    <row r="1280" spans="1:10" x14ac:dyDescent="0.35">
      <c r="A1280" s="4">
        <v>40577</v>
      </c>
      <c r="B1280" s="2">
        <v>10403</v>
      </c>
      <c r="C1280" s="2">
        <v>241</v>
      </c>
      <c r="D1280" s="2">
        <v>56</v>
      </c>
      <c r="E1280" s="2">
        <v>50</v>
      </c>
      <c r="F1280" s="2">
        <v>2</v>
      </c>
      <c r="G1280" s="2">
        <v>1</v>
      </c>
      <c r="H1280" s="2">
        <v>61</v>
      </c>
      <c r="I1280" s="2">
        <v>0</v>
      </c>
      <c r="J1280" t="str">
        <f>_xlfn.XLOOKUP(Table2[[#This Row],[Customer_ID]],Table1[Customer_ID],Table1[Customer_Name])</f>
        <v>Hsiu Hinrichs</v>
      </c>
    </row>
    <row r="1281" spans="1:10" x14ac:dyDescent="0.35">
      <c r="A1281" s="4">
        <v>40580</v>
      </c>
      <c r="B1281" s="2">
        <v>10405</v>
      </c>
      <c r="C1281" s="2">
        <v>78</v>
      </c>
      <c r="D1281" s="2">
        <v>58</v>
      </c>
      <c r="E1281" s="2">
        <v>40</v>
      </c>
      <c r="F1281" s="2">
        <v>2</v>
      </c>
      <c r="G1281" s="2">
        <v>3</v>
      </c>
      <c r="H1281" s="2">
        <v>14</v>
      </c>
      <c r="I1281" s="2">
        <v>0</v>
      </c>
      <c r="J1281" t="str">
        <f>_xlfn.XLOOKUP(Table2[[#This Row],[Customer_ID]],Table1[Customer_ID],Table1[Customer_Name])</f>
        <v>Isis Isom</v>
      </c>
    </row>
    <row r="1282" spans="1:10" x14ac:dyDescent="0.35">
      <c r="A1282" s="4">
        <v>40581</v>
      </c>
      <c r="B1282" s="2">
        <v>10407</v>
      </c>
      <c r="C1282" s="2">
        <v>341</v>
      </c>
      <c r="D1282" s="2">
        <v>60</v>
      </c>
      <c r="E1282" s="2">
        <v>80</v>
      </c>
      <c r="F1282" s="2">
        <v>2</v>
      </c>
      <c r="G1282" s="2">
        <v>2</v>
      </c>
      <c r="H1282" s="2">
        <v>3</v>
      </c>
      <c r="I1282" s="2">
        <v>0</v>
      </c>
      <c r="J1282" t="str">
        <f>_xlfn.XLOOKUP(Table2[[#This Row],[Customer_ID]],Table1[Customer_ID],Table1[Customer_Name])</f>
        <v>Janetta Jhonson</v>
      </c>
    </row>
    <row r="1283" spans="1:10" x14ac:dyDescent="0.35">
      <c r="A1283" s="4">
        <v>40581</v>
      </c>
      <c r="B1283" s="2">
        <v>10407</v>
      </c>
      <c r="C1283" s="2">
        <v>259</v>
      </c>
      <c r="D1283" s="2">
        <v>60</v>
      </c>
      <c r="E1283" s="2">
        <v>80</v>
      </c>
      <c r="F1283" s="2">
        <v>2</v>
      </c>
      <c r="G1283" s="2">
        <v>5</v>
      </c>
      <c r="H1283" s="2">
        <v>22</v>
      </c>
      <c r="I1283" s="2">
        <v>0</v>
      </c>
      <c r="J1283" t="str">
        <f>_xlfn.XLOOKUP(Table2[[#This Row],[Customer_ID]],Table1[Customer_ID],Table1[Customer_Name])</f>
        <v>Janetta Jhonson</v>
      </c>
    </row>
    <row r="1284" spans="1:10" x14ac:dyDescent="0.35">
      <c r="A1284" s="4">
        <v>40581</v>
      </c>
      <c r="B1284" s="2">
        <v>10407</v>
      </c>
      <c r="C1284" s="2">
        <v>344</v>
      </c>
      <c r="D1284" s="2">
        <v>60</v>
      </c>
      <c r="E1284" s="2">
        <v>80</v>
      </c>
      <c r="F1284" s="2">
        <v>2</v>
      </c>
      <c r="G1284" s="2">
        <v>5</v>
      </c>
      <c r="H1284" s="2">
        <v>4</v>
      </c>
      <c r="I1284" s="2">
        <v>0</v>
      </c>
      <c r="J1284" t="str">
        <f>_xlfn.XLOOKUP(Table2[[#This Row],[Customer_ID]],Table1[Customer_ID],Table1[Customer_Name])</f>
        <v>Janetta Jhonson</v>
      </c>
    </row>
    <row r="1285" spans="1:10" x14ac:dyDescent="0.35">
      <c r="A1285" s="4">
        <v>40583</v>
      </c>
      <c r="B1285" s="2">
        <v>10409</v>
      </c>
      <c r="C1285" s="2">
        <v>312</v>
      </c>
      <c r="D1285" s="2">
        <v>62</v>
      </c>
      <c r="E1285" s="2">
        <v>53</v>
      </c>
      <c r="F1285" s="2">
        <v>2</v>
      </c>
      <c r="G1285" s="2">
        <v>1</v>
      </c>
      <c r="H1285" s="2">
        <v>9</v>
      </c>
      <c r="I1285" s="2">
        <v>0</v>
      </c>
      <c r="J1285" t="str">
        <f>_xlfn.XLOOKUP(Table2[[#This Row],[Customer_ID]],Table1[Customer_ID],Table1[Customer_Name])</f>
        <v>Jeanine Chavez</v>
      </c>
    </row>
    <row r="1286" spans="1:10" x14ac:dyDescent="0.35">
      <c r="A1286" s="4">
        <v>40583</v>
      </c>
      <c r="B1286" s="2">
        <v>10409</v>
      </c>
      <c r="C1286" s="2">
        <v>340</v>
      </c>
      <c r="D1286" s="2">
        <v>62</v>
      </c>
      <c r="E1286" s="2">
        <v>53</v>
      </c>
      <c r="F1286" s="2">
        <v>2</v>
      </c>
      <c r="G1286" s="2">
        <v>4</v>
      </c>
      <c r="H1286" s="2">
        <v>2</v>
      </c>
      <c r="I1286" s="2">
        <v>0</v>
      </c>
      <c r="J1286" t="str">
        <f>_xlfn.XLOOKUP(Table2[[#This Row],[Customer_ID]],Table1[Customer_ID],Table1[Customer_Name])</f>
        <v>Jeanine Chavez</v>
      </c>
    </row>
    <row r="1287" spans="1:10" x14ac:dyDescent="0.35">
      <c r="A1287" s="4">
        <v>40584</v>
      </c>
      <c r="B1287" s="2">
        <v>10411</v>
      </c>
      <c r="C1287" s="2">
        <v>247</v>
      </c>
      <c r="D1287" s="2">
        <v>64</v>
      </c>
      <c r="E1287" s="2">
        <v>8</v>
      </c>
      <c r="F1287" s="2">
        <v>2</v>
      </c>
      <c r="G1287" s="2">
        <v>1</v>
      </c>
      <c r="H1287" s="2">
        <v>2</v>
      </c>
      <c r="I1287" s="2">
        <v>0</v>
      </c>
      <c r="J1287" t="str">
        <f>_xlfn.XLOOKUP(Table2[[#This Row],[Customer_ID]],Table1[Customer_ID],Table1[Customer_Name])</f>
        <v>Josephine Escoto</v>
      </c>
    </row>
    <row r="1288" spans="1:10" x14ac:dyDescent="0.35">
      <c r="A1288" s="4">
        <v>40584</v>
      </c>
      <c r="B1288" s="2">
        <v>10411</v>
      </c>
      <c r="C1288" s="2">
        <v>258</v>
      </c>
      <c r="D1288" s="2">
        <v>64</v>
      </c>
      <c r="E1288" s="2">
        <v>7</v>
      </c>
      <c r="F1288" s="2">
        <v>2</v>
      </c>
      <c r="G1288" s="2">
        <v>1</v>
      </c>
      <c r="H1288" s="2">
        <v>10</v>
      </c>
      <c r="I1288" s="2">
        <v>0</v>
      </c>
      <c r="J1288" t="str">
        <f>_xlfn.XLOOKUP(Table2[[#This Row],[Customer_ID]],Table1[Customer_ID],Table1[Customer_Name])</f>
        <v>Josephine Escoto</v>
      </c>
    </row>
    <row r="1289" spans="1:10" x14ac:dyDescent="0.35">
      <c r="A1289" s="4">
        <v>40584</v>
      </c>
      <c r="B1289" s="2">
        <v>10411</v>
      </c>
      <c r="C1289" s="2">
        <v>219</v>
      </c>
      <c r="D1289" s="2">
        <v>64</v>
      </c>
      <c r="E1289" s="2">
        <v>7</v>
      </c>
      <c r="F1289" s="2">
        <v>2</v>
      </c>
      <c r="G1289" s="2">
        <v>6</v>
      </c>
      <c r="H1289" s="2">
        <v>5</v>
      </c>
      <c r="I1289" s="2">
        <v>0</v>
      </c>
      <c r="J1289" t="str">
        <f>_xlfn.XLOOKUP(Table2[[#This Row],[Customer_ID]],Table1[Customer_ID],Table1[Customer_Name])</f>
        <v>Josephine Escoto</v>
      </c>
    </row>
    <row r="1290" spans="1:10" x14ac:dyDescent="0.35">
      <c r="A1290" s="4">
        <v>40588</v>
      </c>
      <c r="B1290" s="2">
        <v>10413</v>
      </c>
      <c r="C1290" s="2">
        <v>244</v>
      </c>
      <c r="D1290" s="2">
        <v>66</v>
      </c>
      <c r="F1290" s="2">
        <v>2</v>
      </c>
      <c r="G1290" s="2">
        <v>1</v>
      </c>
      <c r="H1290" s="2">
        <v>3</v>
      </c>
      <c r="I1290" s="2">
        <v>0</v>
      </c>
      <c r="J1290" t="str">
        <f>_xlfn.XLOOKUP(Table2[[#This Row],[Customer_ID]],Table1[Customer_ID],Table1[Customer_Name])</f>
        <v>Julieta Hard</v>
      </c>
    </row>
    <row r="1291" spans="1:10" x14ac:dyDescent="0.35">
      <c r="A1291" s="4">
        <v>40588</v>
      </c>
      <c r="B1291" s="2">
        <v>10413</v>
      </c>
      <c r="C1291" s="2">
        <v>249</v>
      </c>
      <c r="D1291" s="2">
        <v>66</v>
      </c>
      <c r="F1291" s="2">
        <v>2</v>
      </c>
      <c r="G1291" s="2">
        <v>2</v>
      </c>
      <c r="H1291" s="2">
        <v>4</v>
      </c>
      <c r="I1291" s="2">
        <v>0</v>
      </c>
      <c r="J1291" t="str">
        <f>_xlfn.XLOOKUP(Table2[[#This Row],[Customer_ID]],Table1[Customer_ID],Table1[Customer_Name])</f>
        <v>Julieta Hard</v>
      </c>
    </row>
    <row r="1292" spans="1:10" x14ac:dyDescent="0.35">
      <c r="A1292" s="4">
        <v>40588</v>
      </c>
      <c r="B1292" s="2">
        <v>10413</v>
      </c>
      <c r="C1292" s="2">
        <v>243</v>
      </c>
      <c r="D1292" s="2">
        <v>66</v>
      </c>
      <c r="F1292" s="2">
        <v>2</v>
      </c>
      <c r="G1292" s="2">
        <v>2</v>
      </c>
      <c r="H1292" s="2">
        <v>4</v>
      </c>
      <c r="I1292" s="2">
        <v>0</v>
      </c>
      <c r="J1292" t="str">
        <f>_xlfn.XLOOKUP(Table2[[#This Row],[Customer_ID]],Table1[Customer_ID],Table1[Customer_Name])</f>
        <v>Julieta Hard</v>
      </c>
    </row>
    <row r="1293" spans="1:10" x14ac:dyDescent="0.35">
      <c r="A1293" s="4">
        <v>40589</v>
      </c>
      <c r="B1293" s="2">
        <v>10415</v>
      </c>
      <c r="C1293" s="2">
        <v>395</v>
      </c>
      <c r="D1293" s="2">
        <v>68</v>
      </c>
      <c r="F1293" s="2">
        <v>2</v>
      </c>
      <c r="G1293" s="2">
        <v>3</v>
      </c>
      <c r="H1293" s="2">
        <v>14</v>
      </c>
      <c r="I1293" s="2">
        <v>0</v>
      </c>
      <c r="J1293" t="str">
        <f>_xlfn.XLOOKUP(Table2[[#This Row],[Customer_ID]],Table1[Customer_ID],Table1[Customer_Name])</f>
        <v>Kandy Tully</v>
      </c>
    </row>
    <row r="1294" spans="1:10" x14ac:dyDescent="0.35">
      <c r="A1294" s="4">
        <v>40589</v>
      </c>
      <c r="B1294" s="2">
        <v>10415</v>
      </c>
      <c r="C1294" s="2">
        <v>384</v>
      </c>
      <c r="D1294" s="2">
        <v>68</v>
      </c>
      <c r="F1294" s="2">
        <v>2</v>
      </c>
      <c r="G1294" s="2">
        <v>1</v>
      </c>
      <c r="H1294" s="2">
        <v>13</v>
      </c>
      <c r="I1294" s="2">
        <v>0</v>
      </c>
      <c r="J1294" t="str">
        <f>_xlfn.XLOOKUP(Table2[[#This Row],[Customer_ID]],Table1[Customer_ID],Table1[Customer_Name])</f>
        <v>Kandy Tully</v>
      </c>
    </row>
    <row r="1295" spans="1:10" x14ac:dyDescent="0.35">
      <c r="A1295" s="4">
        <v>40590</v>
      </c>
      <c r="B1295" s="2">
        <v>10417</v>
      </c>
      <c r="C1295" s="2">
        <v>446</v>
      </c>
      <c r="D1295" s="2">
        <v>70</v>
      </c>
      <c r="F1295" s="2">
        <v>2</v>
      </c>
      <c r="G1295" s="2">
        <v>5</v>
      </c>
      <c r="H1295" s="2">
        <v>40</v>
      </c>
      <c r="I1295" s="2">
        <v>0</v>
      </c>
      <c r="J1295" t="str">
        <f>_xlfn.XLOOKUP(Table2[[#This Row],[Customer_ID]],Table1[Customer_ID],Table1[Customer_Name])</f>
        <v>Karina Lisle</v>
      </c>
    </row>
    <row r="1296" spans="1:10" x14ac:dyDescent="0.35">
      <c r="A1296" s="4">
        <v>40590</v>
      </c>
      <c r="B1296" s="2">
        <v>10417</v>
      </c>
      <c r="C1296" s="2">
        <v>441</v>
      </c>
      <c r="D1296" s="2">
        <v>70</v>
      </c>
      <c r="F1296" s="2">
        <v>2</v>
      </c>
      <c r="G1296" s="2">
        <v>2</v>
      </c>
      <c r="H1296" s="2">
        <v>29</v>
      </c>
      <c r="I1296" s="2">
        <v>0</v>
      </c>
      <c r="J1296" t="str">
        <f>_xlfn.XLOOKUP(Table2[[#This Row],[Customer_ID]],Table1[Customer_ID],Table1[Customer_Name])</f>
        <v>Karina Lisle</v>
      </c>
    </row>
    <row r="1297" spans="1:10" x14ac:dyDescent="0.35">
      <c r="A1297" s="4">
        <v>40590</v>
      </c>
      <c r="B1297" s="2">
        <v>10417</v>
      </c>
      <c r="C1297" s="2">
        <v>457</v>
      </c>
      <c r="D1297" s="2">
        <v>70</v>
      </c>
      <c r="F1297" s="2">
        <v>2</v>
      </c>
      <c r="G1297" s="2">
        <v>2</v>
      </c>
      <c r="H1297" s="2">
        <v>19</v>
      </c>
      <c r="I1297" s="2">
        <v>0</v>
      </c>
      <c r="J1297" t="str">
        <f>_xlfn.XLOOKUP(Table2[[#This Row],[Customer_ID]],Table1[Customer_ID],Table1[Customer_Name])</f>
        <v>Karina Lisle</v>
      </c>
    </row>
    <row r="1298" spans="1:10" x14ac:dyDescent="0.35">
      <c r="A1298" s="4">
        <v>40590</v>
      </c>
      <c r="B1298" s="2">
        <v>10417</v>
      </c>
      <c r="C1298" s="2">
        <v>442</v>
      </c>
      <c r="D1298" s="2">
        <v>70</v>
      </c>
      <c r="F1298" s="2">
        <v>2</v>
      </c>
      <c r="G1298" s="2">
        <v>1</v>
      </c>
      <c r="H1298" s="2">
        <v>30</v>
      </c>
      <c r="I1298" s="2">
        <v>0</v>
      </c>
      <c r="J1298" t="str">
        <f>_xlfn.XLOOKUP(Table2[[#This Row],[Customer_ID]],Table1[Customer_ID],Table1[Customer_Name])</f>
        <v>Karina Lisle</v>
      </c>
    </row>
    <row r="1299" spans="1:10" x14ac:dyDescent="0.35">
      <c r="A1299" s="4">
        <v>40594</v>
      </c>
      <c r="B1299" s="2">
        <v>10419</v>
      </c>
      <c r="C1299" s="2">
        <v>327</v>
      </c>
      <c r="D1299" s="2">
        <v>72</v>
      </c>
      <c r="F1299" s="2">
        <v>2</v>
      </c>
      <c r="G1299" s="2">
        <v>9</v>
      </c>
      <c r="H1299" s="2">
        <v>78</v>
      </c>
      <c r="I1299" s="2">
        <v>0</v>
      </c>
      <c r="J1299" t="str">
        <f>_xlfn.XLOOKUP(Table2[[#This Row],[Customer_ID]],Table1[Customer_ID],Table1[Customer_Name])</f>
        <v>Karla Munoz</v>
      </c>
    </row>
    <row r="1300" spans="1:10" x14ac:dyDescent="0.35">
      <c r="A1300" s="4">
        <v>40594</v>
      </c>
      <c r="B1300" s="2">
        <v>10419</v>
      </c>
      <c r="C1300" s="2">
        <v>425</v>
      </c>
      <c r="D1300" s="2">
        <v>72</v>
      </c>
      <c r="F1300" s="2">
        <v>2</v>
      </c>
      <c r="G1300" s="2">
        <v>2</v>
      </c>
      <c r="H1300" s="2">
        <v>17</v>
      </c>
      <c r="I1300" s="2">
        <v>0</v>
      </c>
      <c r="J1300" t="str">
        <f>_xlfn.XLOOKUP(Table2[[#This Row],[Customer_ID]],Table1[Customer_ID],Table1[Customer_Name])</f>
        <v>Karla Munoz</v>
      </c>
    </row>
    <row r="1301" spans="1:10" x14ac:dyDescent="0.35">
      <c r="A1301" s="4">
        <v>40595</v>
      </c>
      <c r="B1301" s="2">
        <v>10421</v>
      </c>
      <c r="C1301" s="2">
        <v>391</v>
      </c>
      <c r="D1301" s="2">
        <v>74</v>
      </c>
      <c r="F1301" s="2">
        <v>2</v>
      </c>
      <c r="G1301" s="2">
        <v>3</v>
      </c>
      <c r="H1301" s="2">
        <v>8</v>
      </c>
      <c r="I1301" s="2">
        <v>0</v>
      </c>
      <c r="J1301" t="str">
        <f>_xlfn.XLOOKUP(Table2[[#This Row],[Customer_ID]],Table1[Customer_ID],Table1[Customer_Name])</f>
        <v>Kazuko Serrato</v>
      </c>
    </row>
    <row r="1302" spans="1:10" x14ac:dyDescent="0.35">
      <c r="A1302" s="4">
        <v>40595</v>
      </c>
      <c r="B1302" s="2">
        <v>10421</v>
      </c>
      <c r="C1302" s="2">
        <v>353</v>
      </c>
      <c r="D1302" s="2">
        <v>74</v>
      </c>
      <c r="F1302" s="2">
        <v>2</v>
      </c>
      <c r="G1302" s="2">
        <v>2</v>
      </c>
      <c r="H1302" s="2">
        <v>33</v>
      </c>
      <c r="I1302" s="2">
        <v>0</v>
      </c>
      <c r="J1302" t="str">
        <f>_xlfn.XLOOKUP(Table2[[#This Row],[Customer_ID]],Table1[Customer_ID],Table1[Customer_Name])</f>
        <v>Kazuko Serrato</v>
      </c>
    </row>
    <row r="1303" spans="1:10" x14ac:dyDescent="0.35">
      <c r="A1303" s="4">
        <v>40595</v>
      </c>
      <c r="B1303" s="2">
        <v>10421</v>
      </c>
      <c r="C1303" s="2">
        <v>428</v>
      </c>
      <c r="D1303" s="2">
        <v>74</v>
      </c>
      <c r="F1303" s="2">
        <v>2</v>
      </c>
      <c r="G1303" s="2">
        <v>1</v>
      </c>
      <c r="H1303" s="2">
        <v>15</v>
      </c>
      <c r="I1303" s="2">
        <v>0</v>
      </c>
      <c r="J1303" t="str">
        <f>_xlfn.XLOOKUP(Table2[[#This Row],[Customer_ID]],Table1[Customer_ID],Table1[Customer_Name])</f>
        <v>Kazuko Serrato</v>
      </c>
    </row>
    <row r="1304" spans="1:10" x14ac:dyDescent="0.35">
      <c r="A1304" s="4">
        <v>40595</v>
      </c>
      <c r="B1304" s="2">
        <v>10421</v>
      </c>
      <c r="C1304" s="2">
        <v>254</v>
      </c>
      <c r="D1304" s="2">
        <v>74</v>
      </c>
      <c r="F1304" s="2">
        <v>2</v>
      </c>
      <c r="G1304" s="2">
        <v>4</v>
      </c>
      <c r="H1304" s="2">
        <v>4</v>
      </c>
      <c r="I1304" s="2">
        <v>0</v>
      </c>
      <c r="J1304" t="str">
        <f>_xlfn.XLOOKUP(Table2[[#This Row],[Customer_ID]],Table1[Customer_ID],Table1[Customer_Name])</f>
        <v>Kazuko Serrato</v>
      </c>
    </row>
    <row r="1305" spans="1:10" x14ac:dyDescent="0.35">
      <c r="A1305" s="4">
        <v>40597</v>
      </c>
      <c r="B1305" s="2">
        <v>10423</v>
      </c>
      <c r="C1305" s="2">
        <v>393</v>
      </c>
      <c r="D1305" s="2">
        <v>76</v>
      </c>
      <c r="F1305" s="2">
        <v>2</v>
      </c>
      <c r="G1305" s="2">
        <v>2</v>
      </c>
      <c r="H1305" s="2">
        <v>10</v>
      </c>
      <c r="I1305" s="2">
        <v>0</v>
      </c>
      <c r="J1305" t="str">
        <f>_xlfn.XLOOKUP(Table2[[#This Row],[Customer_ID]],Table1[Customer_ID],Table1[Customer_Name])</f>
        <v>Khalilah Demaria</v>
      </c>
    </row>
    <row r="1306" spans="1:10" x14ac:dyDescent="0.35">
      <c r="A1306" s="4">
        <v>40597</v>
      </c>
      <c r="B1306" s="2">
        <v>10423</v>
      </c>
      <c r="C1306" s="2">
        <v>387</v>
      </c>
      <c r="D1306" s="2">
        <v>76</v>
      </c>
      <c r="F1306" s="2">
        <v>2</v>
      </c>
      <c r="G1306" s="2">
        <v>1</v>
      </c>
      <c r="H1306" s="2">
        <v>7</v>
      </c>
      <c r="I1306" s="2">
        <v>0</v>
      </c>
      <c r="J1306" t="str">
        <f>_xlfn.XLOOKUP(Table2[[#This Row],[Customer_ID]],Table1[Customer_ID],Table1[Customer_Name])</f>
        <v>Khalilah Demaria</v>
      </c>
    </row>
    <row r="1307" spans="1:10" x14ac:dyDescent="0.35">
      <c r="A1307" s="4">
        <v>40598</v>
      </c>
      <c r="B1307" s="2">
        <v>10425</v>
      </c>
      <c r="C1307" s="2">
        <v>187</v>
      </c>
      <c r="D1307" s="2">
        <v>78</v>
      </c>
      <c r="F1307" s="2">
        <v>2</v>
      </c>
      <c r="G1307" s="2">
        <v>2</v>
      </c>
      <c r="H1307" s="2">
        <v>413</v>
      </c>
      <c r="I1307" s="2">
        <v>0</v>
      </c>
      <c r="J1307" t="str">
        <f>_xlfn.XLOOKUP(Table2[[#This Row],[Customer_ID]],Table1[Customer_ID],Table1[Customer_Name])</f>
        <v>Lacey Rollison</v>
      </c>
    </row>
    <row r="1308" spans="1:10" x14ac:dyDescent="0.35">
      <c r="A1308" s="4">
        <v>40598</v>
      </c>
      <c r="B1308" s="2">
        <v>10425</v>
      </c>
      <c r="C1308" s="2">
        <v>184</v>
      </c>
      <c r="D1308" s="2">
        <v>78</v>
      </c>
      <c r="F1308" s="2">
        <v>2</v>
      </c>
      <c r="G1308" s="2">
        <v>1</v>
      </c>
      <c r="H1308" s="2">
        <v>369</v>
      </c>
      <c r="I1308" s="2">
        <v>0</v>
      </c>
      <c r="J1308" t="str">
        <f>_xlfn.XLOOKUP(Table2[[#This Row],[Customer_ID]],Table1[Customer_ID],Table1[Customer_Name])</f>
        <v>Lacey Rollison</v>
      </c>
    </row>
    <row r="1309" spans="1:10" x14ac:dyDescent="0.35">
      <c r="A1309" s="4">
        <v>40601</v>
      </c>
      <c r="B1309" s="2">
        <v>10427</v>
      </c>
      <c r="C1309" s="2">
        <v>188</v>
      </c>
      <c r="D1309" s="2">
        <v>80</v>
      </c>
      <c r="F1309" s="2">
        <v>2</v>
      </c>
      <c r="G1309" s="2">
        <v>2</v>
      </c>
      <c r="H1309" s="2">
        <v>650</v>
      </c>
      <c r="I1309" s="2">
        <v>0</v>
      </c>
      <c r="J1309" t="str">
        <f>_xlfn.XLOOKUP(Table2[[#This Row],[Customer_ID]],Table1[Customer_ID],Table1[Customer_Name])</f>
        <v>Lashaunda Mynatt</v>
      </c>
    </row>
    <row r="1310" spans="1:10" x14ac:dyDescent="0.35">
      <c r="A1310" s="4">
        <v>40603</v>
      </c>
      <c r="B1310" s="2">
        <v>10429</v>
      </c>
      <c r="C1310" s="2">
        <v>27</v>
      </c>
      <c r="D1310" s="2">
        <v>82</v>
      </c>
      <c r="F1310" s="2">
        <v>2</v>
      </c>
      <c r="G1310" s="2">
        <v>5</v>
      </c>
      <c r="H1310" s="2">
        <v>769</v>
      </c>
      <c r="I1310" s="2">
        <v>0</v>
      </c>
      <c r="J1310" t="str">
        <f>_xlfn.XLOOKUP(Table2[[#This Row],[Customer_ID]],Table1[Customer_ID],Table1[Customer_Name])</f>
        <v>Lesley Rue</v>
      </c>
    </row>
    <row r="1311" spans="1:10" x14ac:dyDescent="0.35">
      <c r="A1311" s="4">
        <v>40603</v>
      </c>
      <c r="B1311" s="2">
        <v>10429</v>
      </c>
      <c r="C1311" s="2">
        <v>29</v>
      </c>
      <c r="D1311" s="2">
        <v>82</v>
      </c>
      <c r="F1311" s="2">
        <v>2</v>
      </c>
      <c r="G1311" s="2">
        <v>7</v>
      </c>
      <c r="H1311" s="2">
        <v>647</v>
      </c>
      <c r="I1311" s="2">
        <v>0</v>
      </c>
      <c r="J1311" t="str">
        <f>_xlfn.XLOOKUP(Table2[[#This Row],[Customer_ID]],Table1[Customer_ID],Table1[Customer_Name])</f>
        <v>Lesley Rue</v>
      </c>
    </row>
    <row r="1312" spans="1:10" x14ac:dyDescent="0.35">
      <c r="A1312" s="4">
        <v>40604</v>
      </c>
      <c r="B1312" s="2">
        <v>10431</v>
      </c>
      <c r="C1312" s="2">
        <v>117</v>
      </c>
      <c r="D1312" s="2">
        <v>84</v>
      </c>
      <c r="F1312" s="2">
        <v>2</v>
      </c>
      <c r="G1312" s="2">
        <v>7</v>
      </c>
      <c r="H1312" s="2">
        <v>3016</v>
      </c>
      <c r="I1312" s="2">
        <v>0</v>
      </c>
      <c r="J1312" t="str">
        <f>_xlfn.XLOOKUP(Table2[[#This Row],[Customer_ID]],Table1[Customer_ID],Table1[Customer_Name])</f>
        <v>Linn Muncy</v>
      </c>
    </row>
    <row r="1313" spans="1:10" x14ac:dyDescent="0.35">
      <c r="A1313" s="4">
        <v>40604</v>
      </c>
      <c r="B1313" s="2">
        <v>10431</v>
      </c>
      <c r="C1313" s="2">
        <v>116</v>
      </c>
      <c r="D1313" s="2">
        <v>84</v>
      </c>
      <c r="F1313" s="2">
        <v>2</v>
      </c>
      <c r="G1313" s="2">
        <v>3</v>
      </c>
      <c r="H1313" s="2">
        <v>1825</v>
      </c>
      <c r="I1313" s="2">
        <v>0</v>
      </c>
      <c r="J1313" t="str">
        <f>_xlfn.XLOOKUP(Table2[[#This Row],[Customer_ID]],Table1[Customer_ID],Table1[Customer_Name])</f>
        <v>Linn Muncy</v>
      </c>
    </row>
    <row r="1314" spans="1:10" x14ac:dyDescent="0.35">
      <c r="A1314" s="4">
        <v>40604</v>
      </c>
      <c r="B1314" s="2">
        <v>10431</v>
      </c>
      <c r="C1314" s="2">
        <v>114</v>
      </c>
      <c r="D1314" s="2">
        <v>84</v>
      </c>
      <c r="F1314" s="2">
        <v>2</v>
      </c>
      <c r="G1314" s="2">
        <v>2</v>
      </c>
      <c r="H1314" s="2">
        <v>1952</v>
      </c>
      <c r="I1314" s="2">
        <v>0</v>
      </c>
      <c r="J1314" t="str">
        <f>_xlfn.XLOOKUP(Table2[[#This Row],[Customer_ID]],Table1[Customer_ID],Table1[Customer_Name])</f>
        <v>Linn Muncy</v>
      </c>
    </row>
    <row r="1315" spans="1:10" x14ac:dyDescent="0.35">
      <c r="A1315" s="4">
        <v>40608</v>
      </c>
      <c r="B1315" s="2">
        <v>10433</v>
      </c>
      <c r="C1315" s="2">
        <v>202</v>
      </c>
      <c r="D1315" s="2">
        <v>86</v>
      </c>
      <c r="F1315" s="2">
        <v>2</v>
      </c>
      <c r="G1315" s="2">
        <v>1</v>
      </c>
      <c r="H1315" s="2">
        <v>4</v>
      </c>
      <c r="I1315" s="2">
        <v>0</v>
      </c>
      <c r="J1315" t="str">
        <f>_xlfn.XLOOKUP(Table2[[#This Row],[Customer_ID]],Table1[Customer_ID],Table1[Customer_Name])</f>
        <v>Louann Luck</v>
      </c>
    </row>
    <row r="1316" spans="1:10" x14ac:dyDescent="0.35">
      <c r="A1316" s="4">
        <v>40609</v>
      </c>
      <c r="B1316" s="2">
        <v>10435</v>
      </c>
      <c r="C1316" s="2">
        <v>45</v>
      </c>
      <c r="D1316" s="2">
        <v>88</v>
      </c>
      <c r="F1316" s="2">
        <v>2</v>
      </c>
      <c r="G1316" s="2">
        <v>1</v>
      </c>
      <c r="H1316" s="2">
        <v>31</v>
      </c>
      <c r="I1316" s="2">
        <v>0</v>
      </c>
      <c r="J1316" t="str">
        <f>_xlfn.XLOOKUP(Table2[[#This Row],[Customer_ID]],Table1[Customer_ID],Table1[Customer_Name])</f>
        <v>Marlene Daniell</v>
      </c>
    </row>
    <row r="1317" spans="1:10" x14ac:dyDescent="0.35">
      <c r="A1317" s="4">
        <v>40609</v>
      </c>
      <c r="B1317" s="2">
        <v>10435</v>
      </c>
      <c r="C1317" s="2">
        <v>302</v>
      </c>
      <c r="D1317" s="2">
        <v>88</v>
      </c>
      <c r="F1317" s="2">
        <v>2</v>
      </c>
      <c r="G1317" s="2">
        <v>8</v>
      </c>
      <c r="H1317" s="2">
        <v>15</v>
      </c>
      <c r="I1317" s="2">
        <v>0</v>
      </c>
      <c r="J1317" t="str">
        <f>_xlfn.XLOOKUP(Table2[[#This Row],[Customer_ID]],Table1[Customer_ID],Table1[Customer_Name])</f>
        <v>Marlene Daniell</v>
      </c>
    </row>
    <row r="1318" spans="1:10" x14ac:dyDescent="0.35">
      <c r="A1318" s="4">
        <v>40609</v>
      </c>
      <c r="B1318" s="2">
        <v>10435</v>
      </c>
      <c r="C1318" s="2">
        <v>250</v>
      </c>
      <c r="D1318" s="2">
        <v>88</v>
      </c>
      <c r="F1318" s="2">
        <v>2</v>
      </c>
      <c r="G1318" s="2">
        <v>3</v>
      </c>
      <c r="H1318" s="2">
        <v>35</v>
      </c>
      <c r="I1318" s="2">
        <v>0</v>
      </c>
      <c r="J1318" t="str">
        <f>_xlfn.XLOOKUP(Table2[[#This Row],[Customer_ID]],Table1[Customer_ID],Table1[Customer_Name])</f>
        <v>Marlene Daniell</v>
      </c>
    </row>
    <row r="1319" spans="1:10" x14ac:dyDescent="0.35">
      <c r="A1319" s="4">
        <v>40610</v>
      </c>
      <c r="B1319" s="2">
        <v>10437</v>
      </c>
      <c r="C1319" s="2">
        <v>37</v>
      </c>
      <c r="D1319" s="2">
        <v>90</v>
      </c>
      <c r="F1319" s="2">
        <v>2</v>
      </c>
      <c r="G1319" s="2">
        <v>2</v>
      </c>
      <c r="H1319" s="2">
        <v>11</v>
      </c>
      <c r="I1319" s="2">
        <v>0</v>
      </c>
      <c r="J1319" t="str">
        <f>_xlfn.XLOOKUP(Table2[[#This Row],[Customer_ID]],Table1[Customer_ID],Table1[Customer_Name])</f>
        <v>Maxwell Wengert</v>
      </c>
    </row>
    <row r="1320" spans="1:10" x14ac:dyDescent="0.35">
      <c r="A1320" s="4">
        <v>40612</v>
      </c>
      <c r="B1320" s="2">
        <v>10439</v>
      </c>
      <c r="C1320" s="2">
        <v>394</v>
      </c>
      <c r="D1320" s="2">
        <v>92</v>
      </c>
      <c r="F1320" s="2">
        <v>2</v>
      </c>
      <c r="G1320" s="2">
        <v>2</v>
      </c>
      <c r="H1320" s="2">
        <v>10</v>
      </c>
      <c r="I1320" s="2">
        <v>0</v>
      </c>
      <c r="J1320" t="str">
        <f>_xlfn.XLOOKUP(Table2[[#This Row],[Customer_ID]],Table1[Customer_ID],Table1[Customer_Name])</f>
        <v>Mercedes Godin</v>
      </c>
    </row>
    <row r="1321" spans="1:10" x14ac:dyDescent="0.35">
      <c r="A1321" s="4">
        <v>40612</v>
      </c>
      <c r="B1321" s="2">
        <v>10439</v>
      </c>
      <c r="C1321" s="2">
        <v>345</v>
      </c>
      <c r="D1321" s="2">
        <v>92</v>
      </c>
      <c r="F1321" s="2">
        <v>2</v>
      </c>
      <c r="G1321" s="2">
        <v>1</v>
      </c>
      <c r="H1321" s="2">
        <v>5</v>
      </c>
      <c r="I1321" s="2">
        <v>0</v>
      </c>
      <c r="J1321" t="str">
        <f>_xlfn.XLOOKUP(Table2[[#This Row],[Customer_ID]],Table1[Customer_ID],Table1[Customer_Name])</f>
        <v>Mercedes Godin</v>
      </c>
    </row>
    <row r="1322" spans="1:10" x14ac:dyDescent="0.35">
      <c r="A1322" s="4">
        <v>40612</v>
      </c>
      <c r="B1322" s="2">
        <v>10439</v>
      </c>
      <c r="C1322" s="2">
        <v>346</v>
      </c>
      <c r="D1322" s="2">
        <v>92</v>
      </c>
      <c r="F1322" s="2">
        <v>2</v>
      </c>
      <c r="G1322" s="2">
        <v>6</v>
      </c>
      <c r="H1322" s="2">
        <v>2</v>
      </c>
      <c r="I1322" s="2">
        <v>0</v>
      </c>
      <c r="J1322" t="str">
        <f>_xlfn.XLOOKUP(Table2[[#This Row],[Customer_ID]],Table1[Customer_ID],Table1[Customer_Name])</f>
        <v>Mercedes Godin</v>
      </c>
    </row>
    <row r="1323" spans="1:10" x14ac:dyDescent="0.35">
      <c r="A1323" s="4">
        <v>40612</v>
      </c>
      <c r="B1323" s="2">
        <v>10439</v>
      </c>
      <c r="C1323" s="2">
        <v>307</v>
      </c>
      <c r="D1323" s="2">
        <v>92</v>
      </c>
      <c r="F1323" s="2">
        <v>2</v>
      </c>
      <c r="G1323" s="2">
        <v>5</v>
      </c>
      <c r="H1323" s="2">
        <v>14</v>
      </c>
      <c r="I1323" s="2">
        <v>0</v>
      </c>
      <c r="J1323" t="str">
        <f>_xlfn.XLOOKUP(Table2[[#This Row],[Customer_ID]],Table1[Customer_ID],Table1[Customer_Name])</f>
        <v>Mercedes Godin</v>
      </c>
    </row>
    <row r="1324" spans="1:10" x14ac:dyDescent="0.35">
      <c r="A1324" s="4">
        <v>40615</v>
      </c>
      <c r="B1324" s="2">
        <v>10441</v>
      </c>
      <c r="C1324" s="2">
        <v>153</v>
      </c>
      <c r="D1324" s="2">
        <v>94</v>
      </c>
      <c r="F1324" s="2">
        <v>2</v>
      </c>
      <c r="G1324" s="2">
        <v>6</v>
      </c>
      <c r="H1324" s="2">
        <v>856</v>
      </c>
      <c r="I1324" s="2">
        <v>0</v>
      </c>
      <c r="J1324" t="str">
        <f>_xlfn.XLOOKUP(Table2[[#This Row],[Customer_ID]],Table1[Customer_ID],Table1[Customer_Name])</f>
        <v>Michelina Manners</v>
      </c>
    </row>
    <row r="1325" spans="1:10" x14ac:dyDescent="0.35">
      <c r="A1325" s="4">
        <v>40617</v>
      </c>
      <c r="B1325" s="2">
        <v>10443</v>
      </c>
      <c r="C1325" s="2">
        <v>142</v>
      </c>
      <c r="D1325" s="2">
        <v>96</v>
      </c>
      <c r="F1325" s="2">
        <v>2</v>
      </c>
      <c r="G1325" s="2">
        <v>3</v>
      </c>
      <c r="H1325" s="2">
        <v>164</v>
      </c>
      <c r="I1325" s="2">
        <v>0</v>
      </c>
      <c r="J1325" t="str">
        <f>_xlfn.XLOOKUP(Table2[[#This Row],[Customer_ID]],Table1[Customer_ID],Table1[Customer_Name])</f>
        <v>Miss Henslee</v>
      </c>
    </row>
    <row r="1326" spans="1:10" x14ac:dyDescent="0.35">
      <c r="A1326" s="4">
        <v>40617</v>
      </c>
      <c r="B1326" s="2">
        <v>10443</v>
      </c>
      <c r="C1326" s="2">
        <v>137</v>
      </c>
      <c r="D1326" s="2">
        <v>96</v>
      </c>
      <c r="F1326" s="2">
        <v>2</v>
      </c>
      <c r="G1326" s="2">
        <v>2</v>
      </c>
      <c r="H1326" s="2">
        <v>68</v>
      </c>
      <c r="I1326" s="2">
        <v>0</v>
      </c>
      <c r="J1326" t="str">
        <f>_xlfn.XLOOKUP(Table2[[#This Row],[Customer_ID]],Table1[Customer_ID],Table1[Customer_Name])</f>
        <v>Miss Henslee</v>
      </c>
    </row>
    <row r="1327" spans="1:10" x14ac:dyDescent="0.35">
      <c r="A1327" s="4">
        <v>40618</v>
      </c>
      <c r="B1327" s="2">
        <v>10445</v>
      </c>
      <c r="C1327" s="2">
        <v>385</v>
      </c>
      <c r="D1327" s="2">
        <v>98</v>
      </c>
      <c r="F1327" s="2">
        <v>2</v>
      </c>
      <c r="G1327" s="2">
        <v>3</v>
      </c>
      <c r="H1327" s="2">
        <v>8</v>
      </c>
      <c r="I1327" s="2">
        <v>0</v>
      </c>
      <c r="J1327" t="str">
        <f>_xlfn.XLOOKUP(Table2[[#This Row],[Customer_ID]],Table1[Customer_ID],Table1[Customer_Name])</f>
        <v>Myesha Mumm</v>
      </c>
    </row>
    <row r="1328" spans="1:10" x14ac:dyDescent="0.35">
      <c r="A1328" s="4">
        <v>40618</v>
      </c>
      <c r="B1328" s="2">
        <v>10445</v>
      </c>
      <c r="C1328" s="2">
        <v>315</v>
      </c>
      <c r="D1328" s="2">
        <v>98</v>
      </c>
      <c r="F1328" s="2">
        <v>2</v>
      </c>
      <c r="G1328" s="2">
        <v>2</v>
      </c>
      <c r="H1328" s="2">
        <v>7</v>
      </c>
      <c r="I1328" s="2">
        <v>0</v>
      </c>
      <c r="J1328" t="str">
        <f>_xlfn.XLOOKUP(Table2[[#This Row],[Customer_ID]],Table1[Customer_ID],Table1[Customer_Name])</f>
        <v>Myesha Mumm</v>
      </c>
    </row>
    <row r="1329" spans="1:10" x14ac:dyDescent="0.35">
      <c r="A1329" s="4">
        <v>40619</v>
      </c>
      <c r="B1329" s="2">
        <v>10447</v>
      </c>
      <c r="C1329" s="2">
        <v>90</v>
      </c>
      <c r="D1329" s="2">
        <v>100</v>
      </c>
      <c r="E1329" s="2">
        <v>19</v>
      </c>
      <c r="F1329" s="2">
        <v>2</v>
      </c>
      <c r="G1329" s="2">
        <v>9</v>
      </c>
      <c r="H1329" s="2">
        <v>670</v>
      </c>
      <c r="I1329" s="2">
        <v>0</v>
      </c>
      <c r="J1329" t="str">
        <f>_xlfn.XLOOKUP(Table2[[#This Row],[Customer_ID]],Table1[Customer_ID],Table1[Customer_Name])</f>
        <v>Natividad Grandberry</v>
      </c>
    </row>
    <row r="1330" spans="1:10" x14ac:dyDescent="0.35">
      <c r="A1330" s="4">
        <v>40619</v>
      </c>
      <c r="B1330" s="2">
        <v>10447</v>
      </c>
      <c r="C1330" s="2">
        <v>95</v>
      </c>
      <c r="D1330" s="2">
        <v>100</v>
      </c>
      <c r="E1330" s="2">
        <v>19</v>
      </c>
      <c r="F1330" s="2">
        <v>2</v>
      </c>
      <c r="G1330" s="2">
        <v>2</v>
      </c>
      <c r="H1330" s="2">
        <v>895</v>
      </c>
      <c r="I1330" s="2">
        <v>0</v>
      </c>
      <c r="J1330" t="str">
        <f>_xlfn.XLOOKUP(Table2[[#This Row],[Customer_ID]],Table1[Customer_ID],Table1[Customer_Name])</f>
        <v>Natividad Grandberry</v>
      </c>
    </row>
    <row r="1331" spans="1:10" x14ac:dyDescent="0.35">
      <c r="A1331" s="4">
        <v>40619</v>
      </c>
      <c r="B1331" s="2">
        <v>10447</v>
      </c>
      <c r="C1331" s="2">
        <v>102</v>
      </c>
      <c r="D1331" s="2">
        <v>100</v>
      </c>
      <c r="E1331" s="2">
        <v>19</v>
      </c>
      <c r="F1331" s="2">
        <v>2</v>
      </c>
      <c r="G1331" s="2">
        <v>5</v>
      </c>
      <c r="H1331" s="2">
        <v>495</v>
      </c>
      <c r="I1331" s="2">
        <v>0</v>
      </c>
      <c r="J1331" t="str">
        <f>_xlfn.XLOOKUP(Table2[[#This Row],[Customer_ID]],Table1[Customer_ID],Table1[Customer_Name])</f>
        <v>Natividad Grandberry</v>
      </c>
    </row>
    <row r="1332" spans="1:10" x14ac:dyDescent="0.35">
      <c r="A1332" s="4">
        <v>40623</v>
      </c>
      <c r="B1332" s="2">
        <v>10449</v>
      </c>
      <c r="C1332" s="2">
        <v>96</v>
      </c>
      <c r="D1332" s="2">
        <v>2</v>
      </c>
      <c r="E1332" s="2">
        <v>21</v>
      </c>
      <c r="F1332" s="2">
        <v>2</v>
      </c>
      <c r="G1332" s="2">
        <v>1</v>
      </c>
      <c r="H1332" s="2">
        <v>904</v>
      </c>
      <c r="I1332" s="2">
        <v>0</v>
      </c>
      <c r="J1332" t="str">
        <f>_xlfn.XLOOKUP(Table2[[#This Row],[Customer_ID]],Table1[Customer_ID],Table1[Customer_Name])</f>
        <v>Alaine Kindig</v>
      </c>
    </row>
    <row r="1333" spans="1:10" x14ac:dyDescent="0.35">
      <c r="A1333" s="4">
        <v>40623</v>
      </c>
      <c r="B1333" s="2">
        <v>10449</v>
      </c>
      <c r="C1333" s="2">
        <v>97</v>
      </c>
      <c r="D1333" s="2">
        <v>2</v>
      </c>
      <c r="E1333" s="2">
        <v>21</v>
      </c>
      <c r="F1333" s="2">
        <v>2</v>
      </c>
      <c r="G1333" s="2">
        <v>2</v>
      </c>
      <c r="H1333" s="2">
        <v>888</v>
      </c>
      <c r="I1333" s="2">
        <v>0</v>
      </c>
      <c r="J1333" t="str">
        <f>_xlfn.XLOOKUP(Table2[[#This Row],[Customer_ID]],Table1[Customer_ID],Table1[Customer_Name])</f>
        <v>Alaine Kindig</v>
      </c>
    </row>
    <row r="1334" spans="1:10" x14ac:dyDescent="0.35">
      <c r="A1334" s="4">
        <v>40623</v>
      </c>
      <c r="B1334" s="2">
        <v>10449</v>
      </c>
      <c r="C1334" s="2">
        <v>92</v>
      </c>
      <c r="D1334" s="2">
        <v>2</v>
      </c>
      <c r="E1334" s="2">
        <v>21</v>
      </c>
      <c r="F1334" s="2">
        <v>2</v>
      </c>
      <c r="G1334" s="2">
        <v>1</v>
      </c>
      <c r="H1334" s="2">
        <v>632</v>
      </c>
      <c r="I1334" s="2">
        <v>0</v>
      </c>
      <c r="J1334" t="str">
        <f>_xlfn.XLOOKUP(Table2[[#This Row],[Customer_ID]],Table1[Customer_ID],Table1[Customer_Name])</f>
        <v>Alaine Kindig</v>
      </c>
    </row>
    <row r="1335" spans="1:10" x14ac:dyDescent="0.35">
      <c r="A1335" s="4">
        <v>40624</v>
      </c>
      <c r="B1335" s="2">
        <v>10451</v>
      </c>
      <c r="C1335" s="2">
        <v>94</v>
      </c>
      <c r="D1335" s="2">
        <v>4</v>
      </c>
      <c r="E1335" s="2">
        <v>65</v>
      </c>
      <c r="F1335" s="2">
        <v>2</v>
      </c>
      <c r="G1335" s="2">
        <v>1</v>
      </c>
      <c r="H1335" s="2">
        <v>487</v>
      </c>
      <c r="I1335" s="2">
        <v>0</v>
      </c>
      <c r="J1335" t="str">
        <f>_xlfn.XLOOKUP(Table2[[#This Row],[Customer_ID]],Table1[Customer_ID],Table1[Customer_Name])</f>
        <v>Andreas Armour</v>
      </c>
    </row>
    <row r="1336" spans="1:10" x14ac:dyDescent="0.35">
      <c r="A1336" s="4">
        <v>40624</v>
      </c>
      <c r="B1336" s="2">
        <v>10451</v>
      </c>
      <c r="C1336" s="2">
        <v>99</v>
      </c>
      <c r="D1336" s="2">
        <v>4</v>
      </c>
      <c r="E1336" s="2">
        <v>65</v>
      </c>
      <c r="F1336" s="2">
        <v>2</v>
      </c>
      <c r="G1336" s="2">
        <v>1</v>
      </c>
      <c r="H1336" s="2">
        <v>1611</v>
      </c>
      <c r="I1336" s="2">
        <v>0</v>
      </c>
      <c r="J1336" t="str">
        <f>_xlfn.XLOOKUP(Table2[[#This Row],[Customer_ID]],Table1[Customer_ID],Table1[Customer_Name])</f>
        <v>Andreas Armour</v>
      </c>
    </row>
    <row r="1337" spans="1:10" x14ac:dyDescent="0.35">
      <c r="A1337" s="4">
        <v>40624</v>
      </c>
      <c r="B1337" s="2">
        <v>10451</v>
      </c>
      <c r="C1337" s="2">
        <v>93</v>
      </c>
      <c r="D1337" s="2">
        <v>4</v>
      </c>
      <c r="E1337" s="2">
        <v>65</v>
      </c>
      <c r="F1337" s="2">
        <v>2</v>
      </c>
      <c r="G1337" s="2">
        <v>1</v>
      </c>
      <c r="H1337" s="2">
        <v>712</v>
      </c>
      <c r="I1337" s="2">
        <v>0</v>
      </c>
      <c r="J1337" t="str">
        <f>_xlfn.XLOOKUP(Table2[[#This Row],[Customer_ID]],Table1[Customer_ID],Table1[Customer_Name])</f>
        <v>Andreas Armour</v>
      </c>
    </row>
    <row r="1338" spans="1:10" x14ac:dyDescent="0.35">
      <c r="A1338" s="4">
        <v>40624</v>
      </c>
      <c r="B1338" s="2">
        <v>10451</v>
      </c>
      <c r="C1338" s="2">
        <v>98</v>
      </c>
      <c r="D1338" s="2">
        <v>4</v>
      </c>
      <c r="E1338" s="2">
        <v>65</v>
      </c>
      <c r="F1338" s="2">
        <v>2</v>
      </c>
      <c r="G1338" s="2">
        <v>1</v>
      </c>
      <c r="H1338" s="2">
        <v>1859</v>
      </c>
      <c r="I1338" s="2">
        <v>0</v>
      </c>
      <c r="J1338" t="str">
        <f>_xlfn.XLOOKUP(Table2[[#This Row],[Customer_ID]],Table1[Customer_ID],Table1[Customer_Name])</f>
        <v>Andreas Armour</v>
      </c>
    </row>
    <row r="1339" spans="1:10" x14ac:dyDescent="0.35">
      <c r="A1339" s="4">
        <v>40626</v>
      </c>
      <c r="B1339" s="2">
        <v>10453</v>
      </c>
      <c r="C1339" s="2">
        <v>445</v>
      </c>
      <c r="D1339" s="2">
        <v>6</v>
      </c>
      <c r="E1339" s="2">
        <v>53</v>
      </c>
      <c r="F1339" s="2">
        <v>2</v>
      </c>
      <c r="G1339" s="2">
        <v>1</v>
      </c>
      <c r="H1339" s="2">
        <v>46</v>
      </c>
      <c r="I1339" s="2">
        <v>0</v>
      </c>
      <c r="J1339" t="str">
        <f>_xlfn.XLOOKUP(Table2[[#This Row],[Customer_ID]],Table1[Customer_ID],Table1[Customer_Name])</f>
        <v>Anjelica Usrey</v>
      </c>
    </row>
    <row r="1340" spans="1:10" x14ac:dyDescent="0.35">
      <c r="A1340" s="4">
        <v>40626</v>
      </c>
      <c r="B1340" s="2">
        <v>10453</v>
      </c>
      <c r="C1340" s="2">
        <v>423</v>
      </c>
      <c r="D1340" s="2">
        <v>6</v>
      </c>
      <c r="E1340" s="2">
        <v>53</v>
      </c>
      <c r="F1340" s="2">
        <v>2</v>
      </c>
      <c r="G1340" s="2">
        <v>1</v>
      </c>
      <c r="H1340" s="2">
        <v>18</v>
      </c>
      <c r="I1340" s="2">
        <v>0</v>
      </c>
      <c r="J1340" t="str">
        <f>_xlfn.XLOOKUP(Table2[[#This Row],[Customer_ID]],Table1[Customer_ID],Table1[Customer_Name])</f>
        <v>Anjelica Usrey</v>
      </c>
    </row>
    <row r="1341" spans="1:10" x14ac:dyDescent="0.35">
      <c r="A1341" s="4">
        <v>40629</v>
      </c>
      <c r="B1341" s="2">
        <v>10455</v>
      </c>
      <c r="C1341" s="2">
        <v>236</v>
      </c>
      <c r="D1341" s="2">
        <v>8</v>
      </c>
      <c r="E1341" s="2">
        <v>60</v>
      </c>
      <c r="F1341" s="2">
        <v>2</v>
      </c>
      <c r="G1341" s="2">
        <v>3</v>
      </c>
      <c r="H1341" s="2">
        <v>28</v>
      </c>
      <c r="I1341" s="2">
        <v>0</v>
      </c>
      <c r="J1341" t="str">
        <f>_xlfn.XLOOKUP(Table2[[#This Row],[Customer_ID]],Table1[Customer_ID],Table1[Customer_Name])</f>
        <v>Ashley Ables</v>
      </c>
    </row>
    <row r="1342" spans="1:10" x14ac:dyDescent="0.35">
      <c r="A1342" s="4">
        <v>40629</v>
      </c>
      <c r="B1342" s="2">
        <v>10455</v>
      </c>
      <c r="C1342" s="2">
        <v>427</v>
      </c>
      <c r="D1342" s="2">
        <v>8</v>
      </c>
      <c r="E1342" s="2">
        <v>60</v>
      </c>
      <c r="F1342" s="2">
        <v>2</v>
      </c>
      <c r="G1342" s="2">
        <v>3</v>
      </c>
      <c r="H1342" s="2">
        <v>18</v>
      </c>
      <c r="I1342" s="2">
        <v>0</v>
      </c>
      <c r="J1342" t="str">
        <f>_xlfn.XLOOKUP(Table2[[#This Row],[Customer_ID]],Table1[Customer_ID],Table1[Customer_Name])</f>
        <v>Ashley Ables</v>
      </c>
    </row>
    <row r="1343" spans="1:10" x14ac:dyDescent="0.35">
      <c r="A1343" s="4">
        <v>40629</v>
      </c>
      <c r="B1343" s="2">
        <v>10455</v>
      </c>
      <c r="C1343" s="2">
        <v>434</v>
      </c>
      <c r="D1343" s="2">
        <v>8</v>
      </c>
      <c r="E1343" s="2">
        <v>60</v>
      </c>
      <c r="F1343" s="2">
        <v>2</v>
      </c>
      <c r="G1343" s="2">
        <v>9</v>
      </c>
      <c r="H1343" s="2">
        <v>24</v>
      </c>
      <c r="I1343" s="2">
        <v>0</v>
      </c>
      <c r="J1343" t="str">
        <f>_xlfn.XLOOKUP(Table2[[#This Row],[Customer_ID]],Table1[Customer_ID],Table1[Customer_Name])</f>
        <v>Ashley Ables</v>
      </c>
    </row>
    <row r="1344" spans="1:10" x14ac:dyDescent="0.35">
      <c r="A1344" s="4">
        <v>40629</v>
      </c>
      <c r="B1344" s="2">
        <v>10455</v>
      </c>
      <c r="C1344" s="2">
        <v>455</v>
      </c>
      <c r="D1344" s="2">
        <v>8</v>
      </c>
      <c r="E1344" s="2">
        <v>60</v>
      </c>
      <c r="F1344" s="2">
        <v>2</v>
      </c>
      <c r="G1344" s="2">
        <v>3</v>
      </c>
      <c r="H1344" s="2">
        <v>20</v>
      </c>
      <c r="I1344" s="2">
        <v>0</v>
      </c>
      <c r="J1344" t="str">
        <f>_xlfn.XLOOKUP(Table2[[#This Row],[Customer_ID]],Table1[Customer_ID],Table1[Customer_Name])</f>
        <v>Ashley Ables</v>
      </c>
    </row>
    <row r="1345" spans="1:10" x14ac:dyDescent="0.35">
      <c r="A1345" s="4">
        <v>40630</v>
      </c>
      <c r="B1345" s="2">
        <v>10457</v>
      </c>
      <c r="C1345" s="2">
        <v>58</v>
      </c>
      <c r="D1345" s="2">
        <v>10</v>
      </c>
      <c r="E1345" s="2">
        <v>22</v>
      </c>
      <c r="F1345" s="2">
        <v>2</v>
      </c>
      <c r="G1345" s="2">
        <v>2</v>
      </c>
      <c r="H1345" s="2">
        <v>14</v>
      </c>
      <c r="I1345" s="2">
        <v>0</v>
      </c>
      <c r="J1345" t="str">
        <f>_xlfn.XLOOKUP(Table2[[#This Row],[Customer_ID]],Table1[Customer_ID],Table1[Customer_Name])</f>
        <v>Berniece Blakely</v>
      </c>
    </row>
    <row r="1346" spans="1:10" x14ac:dyDescent="0.35">
      <c r="A1346" s="4">
        <v>40632</v>
      </c>
      <c r="B1346" s="2">
        <v>10459</v>
      </c>
      <c r="C1346" s="2">
        <v>331</v>
      </c>
      <c r="D1346" s="2">
        <v>12</v>
      </c>
      <c r="E1346" s="2">
        <v>63</v>
      </c>
      <c r="F1346" s="2">
        <v>2</v>
      </c>
      <c r="G1346" s="2">
        <v>6</v>
      </c>
      <c r="H1346" s="2">
        <v>11</v>
      </c>
      <c r="I1346" s="2">
        <v>0</v>
      </c>
      <c r="J1346" t="str">
        <f>_xlfn.XLOOKUP(Table2[[#This Row],[Customer_ID]],Table1[Customer_ID],Table1[Customer_Name])</f>
        <v>Brittney Edmond</v>
      </c>
    </row>
    <row r="1347" spans="1:10" x14ac:dyDescent="0.35">
      <c r="A1347" s="4">
        <v>40632</v>
      </c>
      <c r="B1347" s="2">
        <v>10459</v>
      </c>
      <c r="C1347" s="2">
        <v>62</v>
      </c>
      <c r="D1347" s="2">
        <v>12</v>
      </c>
      <c r="E1347" s="2">
        <v>63</v>
      </c>
      <c r="F1347" s="2">
        <v>2</v>
      </c>
      <c r="G1347" s="2">
        <v>2</v>
      </c>
      <c r="H1347" s="2">
        <v>6</v>
      </c>
      <c r="I1347" s="2">
        <v>0</v>
      </c>
      <c r="J1347" t="str">
        <f>_xlfn.XLOOKUP(Table2[[#This Row],[Customer_ID]],Table1[Customer_ID],Table1[Customer_Name])</f>
        <v>Brittney Edmond</v>
      </c>
    </row>
    <row r="1348" spans="1:10" x14ac:dyDescent="0.35">
      <c r="A1348" s="4">
        <v>40632</v>
      </c>
      <c r="B1348" s="2">
        <v>10459</v>
      </c>
      <c r="C1348" s="2">
        <v>192</v>
      </c>
      <c r="D1348" s="2">
        <v>12</v>
      </c>
      <c r="E1348" s="2">
        <v>63</v>
      </c>
      <c r="F1348" s="2">
        <v>2</v>
      </c>
      <c r="G1348" s="2">
        <v>6</v>
      </c>
      <c r="H1348" s="2">
        <v>10</v>
      </c>
      <c r="I1348" s="2">
        <v>0</v>
      </c>
      <c r="J1348" t="str">
        <f>_xlfn.XLOOKUP(Table2[[#This Row],[Customer_ID]],Table1[Customer_ID],Table1[Customer_Name])</f>
        <v>Brittney Edmond</v>
      </c>
    </row>
    <row r="1349" spans="1:10" x14ac:dyDescent="0.35">
      <c r="A1349" s="4">
        <v>40633</v>
      </c>
      <c r="B1349" s="2">
        <v>10461</v>
      </c>
      <c r="C1349" s="2">
        <v>409</v>
      </c>
      <c r="D1349" s="2">
        <v>14</v>
      </c>
      <c r="E1349" s="2">
        <v>33</v>
      </c>
      <c r="F1349" s="2">
        <v>2</v>
      </c>
      <c r="G1349" s="2">
        <v>3</v>
      </c>
      <c r="H1349" s="2">
        <v>10</v>
      </c>
      <c r="I1349" s="2">
        <v>0</v>
      </c>
      <c r="J1349" t="str">
        <f>_xlfn.XLOOKUP(Table2[[#This Row],[Customer_ID]],Table1[Customer_ID],Table1[Customer_Name])</f>
        <v>Cari Craw</v>
      </c>
    </row>
    <row r="1350" spans="1:10" x14ac:dyDescent="0.35">
      <c r="A1350" s="4">
        <v>40633</v>
      </c>
      <c r="B1350" s="2">
        <v>10461</v>
      </c>
      <c r="C1350" s="2">
        <v>449</v>
      </c>
      <c r="D1350" s="2">
        <v>14</v>
      </c>
      <c r="E1350" s="2">
        <v>33</v>
      </c>
      <c r="F1350" s="2">
        <v>2</v>
      </c>
      <c r="G1350" s="2">
        <v>7</v>
      </c>
      <c r="H1350" s="2">
        <v>19</v>
      </c>
      <c r="I1350" s="2">
        <v>0</v>
      </c>
      <c r="J1350" t="str">
        <f>_xlfn.XLOOKUP(Table2[[#This Row],[Customer_ID]],Table1[Customer_ID],Table1[Customer_Name])</f>
        <v>Cari Craw</v>
      </c>
    </row>
    <row r="1351" spans="1:10" x14ac:dyDescent="0.35">
      <c r="A1351" s="4">
        <v>40633</v>
      </c>
      <c r="B1351" s="2">
        <v>10461</v>
      </c>
      <c r="C1351" s="2">
        <v>443</v>
      </c>
      <c r="D1351" s="2">
        <v>14</v>
      </c>
      <c r="E1351" s="2">
        <v>33</v>
      </c>
      <c r="F1351" s="2">
        <v>2</v>
      </c>
      <c r="G1351" s="2">
        <v>1</v>
      </c>
      <c r="H1351" s="2">
        <v>19</v>
      </c>
      <c r="I1351" s="2">
        <v>0</v>
      </c>
      <c r="J1351" t="str">
        <f>_xlfn.XLOOKUP(Table2[[#This Row],[Customer_ID]],Table1[Customer_ID],Table1[Customer_Name])</f>
        <v>Cari Craw</v>
      </c>
    </row>
    <row r="1352" spans="1:10" x14ac:dyDescent="0.35">
      <c r="A1352" s="4">
        <v>40637</v>
      </c>
      <c r="B1352" s="2">
        <v>10463</v>
      </c>
      <c r="C1352" s="2">
        <v>411</v>
      </c>
      <c r="D1352" s="2">
        <v>16</v>
      </c>
      <c r="E1352" s="2">
        <v>39</v>
      </c>
      <c r="F1352" s="2">
        <v>2</v>
      </c>
      <c r="G1352" s="2">
        <v>6</v>
      </c>
      <c r="H1352" s="2">
        <v>16</v>
      </c>
      <c r="I1352" s="2">
        <v>0</v>
      </c>
      <c r="J1352" t="str">
        <f>_xlfn.XLOOKUP(Table2[[#This Row],[Customer_ID]],Table1[Customer_ID],Table1[Customer_Name])</f>
        <v>Casandra Flewelling</v>
      </c>
    </row>
    <row r="1353" spans="1:10" x14ac:dyDescent="0.35">
      <c r="A1353" s="4">
        <v>40637</v>
      </c>
      <c r="B1353" s="2">
        <v>10463</v>
      </c>
      <c r="C1353" s="2">
        <v>189</v>
      </c>
      <c r="D1353" s="2">
        <v>16</v>
      </c>
      <c r="E1353" s="2">
        <v>39</v>
      </c>
      <c r="F1353" s="2">
        <v>2</v>
      </c>
      <c r="G1353" s="2">
        <v>2</v>
      </c>
      <c r="H1353" s="2">
        <v>9</v>
      </c>
      <c r="I1353" s="2">
        <v>0</v>
      </c>
      <c r="J1353" t="str">
        <f>_xlfn.XLOOKUP(Table2[[#This Row],[Customer_ID]],Table1[Customer_ID],Table1[Customer_Name])</f>
        <v>Casandra Flewelling</v>
      </c>
    </row>
    <row r="1354" spans="1:10" x14ac:dyDescent="0.35">
      <c r="A1354" s="4">
        <v>40638</v>
      </c>
      <c r="B1354" s="2">
        <v>10465</v>
      </c>
      <c r="C1354" s="2">
        <v>438</v>
      </c>
      <c r="D1354" s="2">
        <v>18</v>
      </c>
      <c r="E1354" s="2">
        <v>40</v>
      </c>
      <c r="F1354" s="2">
        <v>2</v>
      </c>
      <c r="G1354" s="2">
        <v>6</v>
      </c>
      <c r="H1354" s="2">
        <v>8</v>
      </c>
      <c r="I1354" s="2">
        <v>0</v>
      </c>
      <c r="J1354" t="str">
        <f>_xlfn.XLOOKUP(Table2[[#This Row],[Customer_ID]],Table1[Customer_ID],Table1[Customer_Name])</f>
        <v>Cecilia Crossman</v>
      </c>
    </row>
    <row r="1355" spans="1:10" x14ac:dyDescent="0.35">
      <c r="A1355" s="4">
        <v>40638</v>
      </c>
      <c r="B1355" s="2">
        <v>10465</v>
      </c>
      <c r="C1355" s="2">
        <v>402</v>
      </c>
      <c r="D1355" s="2">
        <v>18</v>
      </c>
      <c r="E1355" s="2">
        <v>40</v>
      </c>
      <c r="F1355" s="2">
        <v>2</v>
      </c>
      <c r="G1355" s="2">
        <v>6</v>
      </c>
      <c r="H1355" s="2">
        <v>13</v>
      </c>
      <c r="I1355" s="2">
        <v>0</v>
      </c>
      <c r="J1355" t="str">
        <f>_xlfn.XLOOKUP(Table2[[#This Row],[Customer_ID]],Table1[Customer_ID],Table1[Customer_Name])</f>
        <v>Cecilia Crossman</v>
      </c>
    </row>
    <row r="1356" spans="1:10" x14ac:dyDescent="0.35">
      <c r="A1356" s="4">
        <v>40638</v>
      </c>
      <c r="B1356" s="2">
        <v>10465</v>
      </c>
      <c r="C1356" s="2">
        <v>454</v>
      </c>
      <c r="D1356" s="2">
        <v>18</v>
      </c>
      <c r="E1356" s="2">
        <v>40</v>
      </c>
      <c r="F1356" s="2">
        <v>2</v>
      </c>
      <c r="G1356" s="2">
        <v>7</v>
      </c>
      <c r="H1356" s="2">
        <v>22</v>
      </c>
      <c r="I1356" s="2">
        <v>0</v>
      </c>
      <c r="J1356" t="str">
        <f>_xlfn.XLOOKUP(Table2[[#This Row],[Customer_ID]],Table1[Customer_ID],Table1[Customer_Name])</f>
        <v>Cecilia Crossman</v>
      </c>
    </row>
    <row r="1357" spans="1:10" x14ac:dyDescent="0.35">
      <c r="A1357" s="4">
        <v>40638</v>
      </c>
      <c r="B1357" s="2">
        <v>10465</v>
      </c>
      <c r="C1357" s="2">
        <v>300</v>
      </c>
      <c r="D1357" s="2">
        <v>18</v>
      </c>
      <c r="E1357" s="2">
        <v>40</v>
      </c>
      <c r="F1357" s="2">
        <v>2</v>
      </c>
      <c r="G1357" s="2">
        <v>5</v>
      </c>
      <c r="H1357" s="2">
        <v>19</v>
      </c>
      <c r="I1357" s="2">
        <v>0</v>
      </c>
      <c r="J1357" t="str">
        <f>_xlfn.XLOOKUP(Table2[[#This Row],[Customer_ID]],Table1[Customer_ID],Table1[Customer_Name])</f>
        <v>Cecilia Crossman</v>
      </c>
    </row>
    <row r="1358" spans="1:10" x14ac:dyDescent="0.35">
      <c r="A1358" s="4">
        <v>40638</v>
      </c>
      <c r="B1358" s="2">
        <v>10465</v>
      </c>
      <c r="C1358" s="2">
        <v>419</v>
      </c>
      <c r="D1358" s="2">
        <v>18</v>
      </c>
      <c r="E1358" s="2">
        <v>40</v>
      </c>
      <c r="F1358" s="2">
        <v>2</v>
      </c>
      <c r="G1358" s="2">
        <v>6</v>
      </c>
      <c r="H1358" s="2">
        <v>13</v>
      </c>
      <c r="I1358" s="2">
        <v>0</v>
      </c>
      <c r="J1358" t="str">
        <f>_xlfn.XLOOKUP(Table2[[#This Row],[Customer_ID]],Table1[Customer_ID],Table1[Customer_Name])</f>
        <v>Cecilia Crossman</v>
      </c>
    </row>
    <row r="1359" spans="1:10" x14ac:dyDescent="0.35">
      <c r="A1359" s="4">
        <v>40639</v>
      </c>
      <c r="B1359" s="2">
        <v>10467</v>
      </c>
      <c r="C1359" s="2">
        <v>212</v>
      </c>
      <c r="D1359" s="2">
        <v>20</v>
      </c>
      <c r="E1359" s="2">
        <v>42</v>
      </c>
      <c r="F1359" s="2">
        <v>2</v>
      </c>
      <c r="G1359" s="2">
        <v>2</v>
      </c>
      <c r="H1359" s="2">
        <v>32</v>
      </c>
      <c r="I1359" s="2">
        <v>0</v>
      </c>
      <c r="J1359" t="str">
        <f>_xlfn.XLOOKUP(Table2[[#This Row],[Customer_ID]],Table1[Customer_ID],Table1[Customer_Name])</f>
        <v>Chelsey Powers</v>
      </c>
    </row>
    <row r="1360" spans="1:10" x14ac:dyDescent="0.35">
      <c r="A1360" s="4">
        <v>40639</v>
      </c>
      <c r="B1360" s="2">
        <v>10467</v>
      </c>
      <c r="C1360" s="2">
        <v>204</v>
      </c>
      <c r="D1360" s="2">
        <v>20</v>
      </c>
      <c r="E1360" s="2">
        <v>42</v>
      </c>
      <c r="F1360" s="2">
        <v>2</v>
      </c>
      <c r="G1360" s="2">
        <v>1</v>
      </c>
      <c r="H1360" s="2">
        <v>9</v>
      </c>
      <c r="I1360" s="2">
        <v>0</v>
      </c>
      <c r="J1360" t="str">
        <f>_xlfn.XLOOKUP(Table2[[#This Row],[Customer_ID]],Table1[Customer_ID],Table1[Customer_Name])</f>
        <v>Chelsey Powers</v>
      </c>
    </row>
    <row r="1361" spans="1:10" x14ac:dyDescent="0.35">
      <c r="A1361" s="4">
        <v>40643</v>
      </c>
      <c r="B1361" s="2">
        <v>10469</v>
      </c>
      <c r="C1361" s="2">
        <v>336</v>
      </c>
      <c r="D1361" s="2">
        <v>22</v>
      </c>
      <c r="E1361" s="2">
        <v>48</v>
      </c>
      <c r="F1361" s="2">
        <v>2</v>
      </c>
      <c r="G1361" s="2">
        <v>3</v>
      </c>
      <c r="H1361" s="2">
        <v>5</v>
      </c>
      <c r="I1361" s="2">
        <v>0</v>
      </c>
      <c r="J1361" t="str">
        <f>_xlfn.XLOOKUP(Table2[[#This Row],[Customer_ID]],Table1[Customer_ID],Table1[Customer_Name])</f>
        <v>Colleen Coplin</v>
      </c>
    </row>
    <row r="1362" spans="1:10" x14ac:dyDescent="0.35">
      <c r="A1362" s="4">
        <v>40643</v>
      </c>
      <c r="B1362" s="2">
        <v>10469</v>
      </c>
      <c r="C1362" s="2">
        <v>256</v>
      </c>
      <c r="D1362" s="2">
        <v>22</v>
      </c>
      <c r="E1362" s="2">
        <v>48</v>
      </c>
      <c r="F1362" s="2">
        <v>2</v>
      </c>
      <c r="G1362" s="2">
        <v>6</v>
      </c>
      <c r="H1362" s="2">
        <v>5</v>
      </c>
      <c r="I1362" s="2">
        <v>0</v>
      </c>
      <c r="J1362" t="str">
        <f>_xlfn.XLOOKUP(Table2[[#This Row],[Customer_ID]],Table1[Customer_ID],Table1[Customer_Name])</f>
        <v>Colleen Coplin</v>
      </c>
    </row>
    <row r="1363" spans="1:10" x14ac:dyDescent="0.35">
      <c r="A1363" s="4">
        <v>40643</v>
      </c>
      <c r="B1363" s="2">
        <v>10469</v>
      </c>
      <c r="C1363" s="2">
        <v>306</v>
      </c>
      <c r="D1363" s="2">
        <v>22</v>
      </c>
      <c r="E1363" s="2">
        <v>48</v>
      </c>
      <c r="F1363" s="2">
        <v>2</v>
      </c>
      <c r="G1363" s="2">
        <v>3</v>
      </c>
      <c r="H1363" s="2">
        <v>9</v>
      </c>
      <c r="I1363" s="2">
        <v>0</v>
      </c>
      <c r="J1363" t="str">
        <f>_xlfn.XLOOKUP(Table2[[#This Row],[Customer_ID]],Table1[Customer_ID],Table1[Customer_Name])</f>
        <v>Colleen Coplin</v>
      </c>
    </row>
    <row r="1364" spans="1:10" x14ac:dyDescent="0.35">
      <c r="A1364" s="4">
        <v>40644</v>
      </c>
      <c r="B1364" s="2">
        <v>10471</v>
      </c>
      <c r="C1364" s="2">
        <v>348</v>
      </c>
      <c r="D1364" s="2">
        <v>24</v>
      </c>
      <c r="E1364" s="2">
        <v>59</v>
      </c>
      <c r="F1364" s="2">
        <v>2</v>
      </c>
      <c r="G1364" s="2">
        <v>1</v>
      </c>
      <c r="H1364" s="2">
        <v>2</v>
      </c>
      <c r="I1364" s="2">
        <v>0</v>
      </c>
      <c r="J1364" t="str">
        <f>_xlfn.XLOOKUP(Table2[[#This Row],[Customer_ID]],Table1[Customer_ID],Table1[Customer_Name])</f>
        <v>Corrinne Cataldo</v>
      </c>
    </row>
    <row r="1365" spans="1:10" x14ac:dyDescent="0.35">
      <c r="A1365" s="4">
        <v>40644</v>
      </c>
      <c r="B1365" s="2">
        <v>10471</v>
      </c>
      <c r="C1365" s="2">
        <v>366</v>
      </c>
      <c r="D1365" s="2">
        <v>24</v>
      </c>
      <c r="E1365" s="2">
        <v>59</v>
      </c>
      <c r="F1365" s="2">
        <v>2</v>
      </c>
      <c r="G1365" s="2">
        <v>3</v>
      </c>
      <c r="H1365" s="2">
        <v>7</v>
      </c>
      <c r="I1365" s="2">
        <v>0</v>
      </c>
      <c r="J1365" t="str">
        <f>_xlfn.XLOOKUP(Table2[[#This Row],[Customer_ID]],Table1[Customer_ID],Table1[Customer_Name])</f>
        <v>Corrinne Cataldo</v>
      </c>
    </row>
    <row r="1366" spans="1:10" x14ac:dyDescent="0.35">
      <c r="A1366" s="4">
        <v>40646</v>
      </c>
      <c r="B1366" s="2">
        <v>10473</v>
      </c>
      <c r="C1366" s="2">
        <v>190</v>
      </c>
      <c r="D1366" s="2">
        <v>26</v>
      </c>
      <c r="E1366" s="2">
        <v>93</v>
      </c>
      <c r="F1366" s="2">
        <v>2</v>
      </c>
      <c r="G1366" s="2">
        <v>3</v>
      </c>
      <c r="H1366" s="2">
        <v>4</v>
      </c>
      <c r="I1366" s="2">
        <v>0</v>
      </c>
      <c r="J1366" t="str">
        <f>_xlfn.XLOOKUP(Table2[[#This Row],[Customer_ID]],Table1[Customer_ID],Table1[Customer_Name])</f>
        <v>Cyndy Collie</v>
      </c>
    </row>
    <row r="1367" spans="1:10" x14ac:dyDescent="0.35">
      <c r="A1367" s="4">
        <v>40646</v>
      </c>
      <c r="B1367" s="2">
        <v>10473</v>
      </c>
      <c r="C1367" s="2">
        <v>324</v>
      </c>
      <c r="D1367" s="2">
        <v>26</v>
      </c>
      <c r="E1367" s="2">
        <v>93</v>
      </c>
      <c r="F1367" s="2">
        <v>2</v>
      </c>
      <c r="G1367" s="2">
        <v>6</v>
      </c>
      <c r="H1367" s="2">
        <v>8</v>
      </c>
      <c r="I1367" s="2">
        <v>0</v>
      </c>
      <c r="J1367" t="str">
        <f>_xlfn.XLOOKUP(Table2[[#This Row],[Customer_ID]],Table1[Customer_ID],Table1[Customer_Name])</f>
        <v>Cyndy Collie</v>
      </c>
    </row>
    <row r="1368" spans="1:10" x14ac:dyDescent="0.35">
      <c r="A1368" s="4">
        <v>40647</v>
      </c>
      <c r="B1368" s="2">
        <v>10475</v>
      </c>
      <c r="C1368" s="2">
        <v>227</v>
      </c>
      <c r="D1368" s="2">
        <v>28</v>
      </c>
      <c r="E1368" s="2">
        <v>25</v>
      </c>
      <c r="F1368" s="2">
        <v>2</v>
      </c>
      <c r="G1368" s="2">
        <v>3</v>
      </c>
      <c r="H1368" s="2">
        <v>4</v>
      </c>
      <c r="I1368" s="2">
        <v>0</v>
      </c>
      <c r="J1368" t="str">
        <f>_xlfn.XLOOKUP(Table2[[#This Row],[Customer_ID]],Table1[Customer_ID],Table1[Customer_Name])</f>
        <v>Delena Hulin</v>
      </c>
    </row>
    <row r="1369" spans="1:10" x14ac:dyDescent="0.35">
      <c r="A1369" s="4">
        <v>40647</v>
      </c>
      <c r="B1369" s="2">
        <v>10475</v>
      </c>
      <c r="C1369" s="2">
        <v>328</v>
      </c>
      <c r="D1369" s="2">
        <v>28</v>
      </c>
      <c r="E1369" s="2">
        <v>25</v>
      </c>
      <c r="F1369" s="2">
        <v>2</v>
      </c>
      <c r="G1369" s="2">
        <v>6</v>
      </c>
      <c r="H1369" s="2">
        <v>46</v>
      </c>
      <c r="I1369" s="2">
        <v>0</v>
      </c>
      <c r="J1369" t="str">
        <f>_xlfn.XLOOKUP(Table2[[#This Row],[Customer_ID]],Table1[Customer_ID],Table1[Customer_Name])</f>
        <v>Delena Hulin</v>
      </c>
    </row>
    <row r="1370" spans="1:10" x14ac:dyDescent="0.35">
      <c r="A1370" s="4">
        <v>40647</v>
      </c>
      <c r="B1370" s="2">
        <v>10475</v>
      </c>
      <c r="C1370" s="2">
        <v>285</v>
      </c>
      <c r="D1370" s="2">
        <v>28</v>
      </c>
      <c r="E1370" s="2">
        <v>25</v>
      </c>
      <c r="F1370" s="2">
        <v>2</v>
      </c>
      <c r="G1370" s="2">
        <v>2</v>
      </c>
      <c r="H1370" s="2">
        <v>5</v>
      </c>
      <c r="I1370" s="2">
        <v>0</v>
      </c>
      <c r="J1370" t="str">
        <f>_xlfn.XLOOKUP(Table2[[#This Row],[Customer_ID]],Table1[Customer_ID],Table1[Customer_Name])</f>
        <v>Delena Hulin</v>
      </c>
    </row>
    <row r="1371" spans="1:10" x14ac:dyDescent="0.35">
      <c r="A1371" s="4">
        <v>40650</v>
      </c>
      <c r="B1371" s="2">
        <v>10477</v>
      </c>
      <c r="C1371" s="2">
        <v>342</v>
      </c>
      <c r="D1371" s="2">
        <v>30</v>
      </c>
      <c r="E1371" s="2">
        <v>33</v>
      </c>
      <c r="F1371" s="2">
        <v>2</v>
      </c>
      <c r="G1371" s="2">
        <v>9</v>
      </c>
      <c r="H1371" s="2">
        <v>4</v>
      </c>
      <c r="I1371" s="2">
        <v>0</v>
      </c>
      <c r="J1371" t="str">
        <f>_xlfn.XLOOKUP(Table2[[#This Row],[Customer_ID]],Table1[Customer_ID],Table1[Customer_Name])</f>
        <v>Dinah Trusty</v>
      </c>
    </row>
    <row r="1372" spans="1:10" x14ac:dyDescent="0.35">
      <c r="A1372" s="4">
        <v>40650</v>
      </c>
      <c r="B1372" s="2">
        <v>10477</v>
      </c>
      <c r="C1372" s="2">
        <v>343</v>
      </c>
      <c r="D1372" s="2">
        <v>30</v>
      </c>
      <c r="E1372" s="2">
        <v>33</v>
      </c>
      <c r="F1372" s="2">
        <v>2</v>
      </c>
      <c r="G1372" s="2">
        <v>4</v>
      </c>
      <c r="H1372" s="2">
        <v>4</v>
      </c>
      <c r="I1372" s="2">
        <v>0</v>
      </c>
      <c r="J1372" t="str">
        <f>_xlfn.XLOOKUP(Table2[[#This Row],[Customer_ID]],Table1[Customer_ID],Table1[Customer_Name])</f>
        <v>Dinah Trusty</v>
      </c>
    </row>
    <row r="1373" spans="1:10" x14ac:dyDescent="0.35">
      <c r="A1373" s="4">
        <v>40650</v>
      </c>
      <c r="B1373" s="2">
        <v>10477</v>
      </c>
      <c r="C1373" s="2">
        <v>240</v>
      </c>
      <c r="D1373" s="2">
        <v>30</v>
      </c>
      <c r="E1373" s="2">
        <v>33</v>
      </c>
      <c r="F1373" s="2">
        <v>2</v>
      </c>
      <c r="G1373" s="2">
        <v>1</v>
      </c>
      <c r="H1373" s="2">
        <v>26</v>
      </c>
      <c r="I1373" s="2">
        <v>0</v>
      </c>
      <c r="J1373" t="str">
        <f>_xlfn.XLOOKUP(Table2[[#This Row],[Customer_ID]],Table1[Customer_ID],Table1[Customer_Name])</f>
        <v>Dinah Trusty</v>
      </c>
    </row>
    <row r="1374" spans="1:10" x14ac:dyDescent="0.35">
      <c r="A1374" s="4">
        <v>40652</v>
      </c>
      <c r="B1374" s="2">
        <v>10479</v>
      </c>
      <c r="C1374" s="2">
        <v>108</v>
      </c>
      <c r="D1374" s="2">
        <v>32</v>
      </c>
      <c r="E1374" s="2">
        <v>36</v>
      </c>
      <c r="F1374" s="2">
        <v>2</v>
      </c>
      <c r="G1374" s="2">
        <v>6</v>
      </c>
      <c r="H1374" s="2">
        <v>483</v>
      </c>
      <c r="I1374" s="2">
        <v>0</v>
      </c>
      <c r="J1374" t="str">
        <f>_xlfn.XLOOKUP(Table2[[#This Row],[Customer_ID]],Table1[Customer_ID],Table1[Customer_Name])</f>
        <v>Doretha Mcmunn</v>
      </c>
    </row>
    <row r="1375" spans="1:10" x14ac:dyDescent="0.35">
      <c r="A1375" s="4">
        <v>40652</v>
      </c>
      <c r="B1375" s="2">
        <v>10479</v>
      </c>
      <c r="C1375" s="2">
        <v>106</v>
      </c>
      <c r="D1375" s="2">
        <v>32</v>
      </c>
      <c r="E1375" s="2">
        <v>36</v>
      </c>
      <c r="F1375" s="2">
        <v>2</v>
      </c>
      <c r="G1375" s="2">
        <v>8</v>
      </c>
      <c r="H1375" s="2">
        <v>467</v>
      </c>
      <c r="I1375" s="2">
        <v>0</v>
      </c>
      <c r="J1375" t="str">
        <f>_xlfn.XLOOKUP(Table2[[#This Row],[Customer_ID]],Table1[Customer_ID],Table1[Customer_Name])</f>
        <v>Doretha Mcmunn</v>
      </c>
    </row>
    <row r="1376" spans="1:10" x14ac:dyDescent="0.35">
      <c r="A1376" s="4">
        <v>40652</v>
      </c>
      <c r="B1376" s="2">
        <v>10479</v>
      </c>
      <c r="C1376" s="2">
        <v>111</v>
      </c>
      <c r="D1376" s="2">
        <v>32</v>
      </c>
      <c r="E1376" s="2">
        <v>36</v>
      </c>
      <c r="F1376" s="2">
        <v>2</v>
      </c>
      <c r="G1376" s="2">
        <v>3</v>
      </c>
      <c r="H1376" s="2">
        <v>547</v>
      </c>
      <c r="I1376" s="2">
        <v>0</v>
      </c>
      <c r="J1376" t="str">
        <f>_xlfn.XLOOKUP(Table2[[#This Row],[Customer_ID]],Table1[Customer_ID],Table1[Customer_Name])</f>
        <v>Doretha Mcmunn</v>
      </c>
    </row>
    <row r="1377" spans="1:10" x14ac:dyDescent="0.35">
      <c r="A1377" s="4">
        <v>40652</v>
      </c>
      <c r="B1377" s="2">
        <v>10479</v>
      </c>
      <c r="C1377" s="2">
        <v>112</v>
      </c>
      <c r="D1377" s="2">
        <v>32</v>
      </c>
      <c r="E1377" s="2">
        <v>36</v>
      </c>
      <c r="F1377" s="2">
        <v>2</v>
      </c>
      <c r="G1377" s="2">
        <v>3</v>
      </c>
      <c r="H1377" s="2">
        <v>493</v>
      </c>
      <c r="I1377" s="2">
        <v>0</v>
      </c>
      <c r="J1377" t="str">
        <f>_xlfn.XLOOKUP(Table2[[#This Row],[Customer_ID]],Table1[Customer_ID],Table1[Customer_Name])</f>
        <v>Doretha Mcmunn</v>
      </c>
    </row>
    <row r="1378" spans="1:10" x14ac:dyDescent="0.35">
      <c r="A1378" s="4">
        <v>40653</v>
      </c>
      <c r="B1378" s="2">
        <v>10481</v>
      </c>
      <c r="C1378" s="2">
        <v>104</v>
      </c>
      <c r="D1378" s="2">
        <v>34</v>
      </c>
      <c r="E1378" s="2">
        <v>96</v>
      </c>
      <c r="F1378" s="2">
        <v>2</v>
      </c>
      <c r="G1378" s="2">
        <v>9</v>
      </c>
      <c r="H1378" s="2">
        <v>661</v>
      </c>
      <c r="I1378" s="2">
        <v>0</v>
      </c>
      <c r="J1378" t="str">
        <f>_xlfn.XLOOKUP(Table2[[#This Row],[Customer_ID]],Table1[Customer_ID],Table1[Customer_Name])</f>
        <v>Duane Dopp</v>
      </c>
    </row>
    <row r="1379" spans="1:10" x14ac:dyDescent="0.35">
      <c r="A1379" s="4">
        <v>40653</v>
      </c>
      <c r="B1379" s="2">
        <v>10481</v>
      </c>
      <c r="C1379" s="2">
        <v>103</v>
      </c>
      <c r="D1379" s="2">
        <v>34</v>
      </c>
      <c r="E1379" s="2">
        <v>96</v>
      </c>
      <c r="F1379" s="2">
        <v>2</v>
      </c>
      <c r="G1379" s="2">
        <v>6</v>
      </c>
      <c r="H1379" s="2">
        <v>560</v>
      </c>
      <c r="I1379" s="2">
        <v>0</v>
      </c>
      <c r="J1379" t="str">
        <f>_xlfn.XLOOKUP(Table2[[#This Row],[Customer_ID]],Table1[Customer_ID],Table1[Customer_Name])</f>
        <v>Duane Dopp</v>
      </c>
    </row>
    <row r="1380" spans="1:10" x14ac:dyDescent="0.35">
      <c r="A1380" s="4">
        <v>40657</v>
      </c>
      <c r="B1380" s="2">
        <v>10483</v>
      </c>
      <c r="C1380" s="2">
        <v>22</v>
      </c>
      <c r="D1380" s="2">
        <v>36</v>
      </c>
      <c r="E1380" s="2">
        <v>56</v>
      </c>
      <c r="F1380" s="2">
        <v>2</v>
      </c>
      <c r="G1380" s="2">
        <v>2</v>
      </c>
      <c r="H1380" s="2">
        <v>411</v>
      </c>
      <c r="I1380" s="2">
        <v>0</v>
      </c>
      <c r="J1380" t="str">
        <f>_xlfn.XLOOKUP(Table2[[#This Row],[Customer_ID]],Table1[Customer_ID],Table1[Customer_Name])</f>
        <v>Earnestine Heidenreich</v>
      </c>
    </row>
    <row r="1381" spans="1:10" x14ac:dyDescent="0.35">
      <c r="A1381" s="4">
        <v>40657</v>
      </c>
      <c r="B1381" s="2">
        <v>10483</v>
      </c>
      <c r="C1381" s="2">
        <v>21</v>
      </c>
      <c r="D1381" s="2">
        <v>36</v>
      </c>
      <c r="E1381" s="2">
        <v>56</v>
      </c>
      <c r="F1381" s="2">
        <v>2</v>
      </c>
      <c r="G1381" s="2">
        <v>1</v>
      </c>
      <c r="H1381" s="2">
        <v>634</v>
      </c>
      <c r="I1381" s="2">
        <v>0</v>
      </c>
      <c r="J1381" t="str">
        <f>_xlfn.XLOOKUP(Table2[[#This Row],[Customer_ID]],Table1[Customer_ID],Table1[Customer_Name])</f>
        <v>Earnestine Heidenreich</v>
      </c>
    </row>
    <row r="1382" spans="1:10" x14ac:dyDescent="0.35">
      <c r="A1382" s="4">
        <v>40658</v>
      </c>
      <c r="B1382" s="2">
        <v>10485</v>
      </c>
      <c r="C1382" s="2">
        <v>24</v>
      </c>
      <c r="D1382" s="2">
        <v>38</v>
      </c>
      <c r="E1382" s="2">
        <v>60</v>
      </c>
      <c r="F1382" s="2">
        <v>2</v>
      </c>
      <c r="G1382" s="2">
        <v>1</v>
      </c>
      <c r="H1382" s="2">
        <v>456</v>
      </c>
      <c r="I1382" s="2">
        <v>0</v>
      </c>
      <c r="J1382" t="str">
        <f>_xlfn.XLOOKUP(Table2[[#This Row],[Customer_ID]],Table1[Customer_ID],Table1[Customer_Name])</f>
        <v>Edison Littell</v>
      </c>
    </row>
    <row r="1383" spans="1:10" x14ac:dyDescent="0.35">
      <c r="A1383" s="4">
        <v>40658</v>
      </c>
      <c r="B1383" s="2">
        <v>10485</v>
      </c>
      <c r="C1383" s="2">
        <v>63</v>
      </c>
      <c r="D1383" s="2">
        <v>38</v>
      </c>
      <c r="E1383" s="2">
        <v>60</v>
      </c>
      <c r="F1383" s="2">
        <v>2</v>
      </c>
      <c r="G1383" s="2">
        <v>5</v>
      </c>
      <c r="H1383" s="2">
        <v>3</v>
      </c>
      <c r="I1383" s="2">
        <v>0</v>
      </c>
      <c r="J1383" t="str">
        <f>_xlfn.XLOOKUP(Table2[[#This Row],[Customer_ID]],Table1[Customer_ID],Table1[Customer_Name])</f>
        <v>Edison Littell</v>
      </c>
    </row>
    <row r="1384" spans="1:10" x14ac:dyDescent="0.35">
      <c r="A1384" s="4">
        <v>40658</v>
      </c>
      <c r="B1384" s="2">
        <v>10485</v>
      </c>
      <c r="C1384" s="2">
        <v>23</v>
      </c>
      <c r="D1384" s="2">
        <v>38</v>
      </c>
      <c r="E1384" s="2">
        <v>60</v>
      </c>
      <c r="F1384" s="2">
        <v>2</v>
      </c>
      <c r="G1384" s="2">
        <v>1</v>
      </c>
      <c r="H1384" s="2">
        <v>484</v>
      </c>
      <c r="I1384" s="2">
        <v>0</v>
      </c>
      <c r="J1384" t="str">
        <f>_xlfn.XLOOKUP(Table2[[#This Row],[Customer_ID]],Table1[Customer_ID],Table1[Customer_Name])</f>
        <v>Edison Littell</v>
      </c>
    </row>
    <row r="1385" spans="1:10" x14ac:dyDescent="0.35">
      <c r="A1385" s="4">
        <v>40658</v>
      </c>
      <c r="B1385" s="2">
        <v>10485</v>
      </c>
      <c r="C1385" s="2">
        <v>51</v>
      </c>
      <c r="D1385" s="2">
        <v>38</v>
      </c>
      <c r="E1385" s="2">
        <v>60</v>
      </c>
      <c r="F1385" s="2">
        <v>2</v>
      </c>
      <c r="G1385" s="2">
        <v>9</v>
      </c>
      <c r="H1385" s="2">
        <v>18</v>
      </c>
      <c r="I1385" s="2">
        <v>0</v>
      </c>
      <c r="J1385" t="str">
        <f>_xlfn.XLOOKUP(Table2[[#This Row],[Customer_ID]],Table1[Customer_ID],Table1[Customer_Name])</f>
        <v>Edison Littell</v>
      </c>
    </row>
    <row r="1386" spans="1:10" x14ac:dyDescent="0.35">
      <c r="A1386" s="4">
        <v>40659</v>
      </c>
      <c r="B1386" s="2">
        <v>10487</v>
      </c>
      <c r="C1386" s="2">
        <v>405</v>
      </c>
      <c r="D1386" s="2">
        <v>40</v>
      </c>
      <c r="E1386" s="2">
        <v>16</v>
      </c>
      <c r="F1386" s="2">
        <v>2</v>
      </c>
      <c r="G1386" s="2">
        <v>2</v>
      </c>
      <c r="H1386" s="2">
        <v>13</v>
      </c>
      <c r="I1386" s="2">
        <v>0</v>
      </c>
      <c r="J1386" t="str">
        <f>_xlfn.XLOOKUP(Table2[[#This Row],[Customer_ID]],Table1[Customer_ID],Table1[Customer_Name])</f>
        <v>Eleonora Eddinger</v>
      </c>
    </row>
    <row r="1387" spans="1:10" x14ac:dyDescent="0.35">
      <c r="A1387" s="4">
        <v>40659</v>
      </c>
      <c r="B1387" s="2">
        <v>10487</v>
      </c>
      <c r="C1387" s="2">
        <v>410</v>
      </c>
      <c r="D1387" s="2">
        <v>40</v>
      </c>
      <c r="E1387" s="2">
        <v>16</v>
      </c>
      <c r="F1387" s="2">
        <v>2</v>
      </c>
      <c r="G1387" s="2">
        <v>2</v>
      </c>
      <c r="H1387" s="2">
        <v>16</v>
      </c>
      <c r="I1387" s="2">
        <v>0</v>
      </c>
      <c r="J1387" t="str">
        <f>_xlfn.XLOOKUP(Table2[[#This Row],[Customer_ID]],Table1[Customer_ID],Table1[Customer_Name])</f>
        <v>Eleonora Eddinger</v>
      </c>
    </row>
    <row r="1388" spans="1:10" x14ac:dyDescent="0.35">
      <c r="A1388" s="4">
        <v>40659</v>
      </c>
      <c r="B1388" s="2">
        <v>10487</v>
      </c>
      <c r="C1388" s="2">
        <v>321</v>
      </c>
      <c r="D1388" s="2">
        <v>40</v>
      </c>
      <c r="E1388" s="2">
        <v>16</v>
      </c>
      <c r="F1388" s="2">
        <v>2</v>
      </c>
      <c r="G1388" s="2">
        <v>2</v>
      </c>
      <c r="H1388" s="2">
        <v>5</v>
      </c>
      <c r="I1388" s="2">
        <v>0</v>
      </c>
      <c r="J1388" t="str">
        <f>_xlfn.XLOOKUP(Table2[[#This Row],[Customer_ID]],Table1[Customer_ID],Table1[Customer_Name])</f>
        <v>Eleonora Eddinger</v>
      </c>
    </row>
    <row r="1389" spans="1:10" x14ac:dyDescent="0.35">
      <c r="A1389" s="4">
        <v>40661</v>
      </c>
      <c r="B1389" s="2">
        <v>10489</v>
      </c>
      <c r="C1389" s="2">
        <v>281</v>
      </c>
      <c r="D1389" s="2">
        <v>42</v>
      </c>
      <c r="E1389" s="2">
        <v>86</v>
      </c>
      <c r="F1389" s="2">
        <v>2</v>
      </c>
      <c r="G1389" s="2">
        <v>2</v>
      </c>
      <c r="H1389" s="2">
        <v>4</v>
      </c>
      <c r="I1389" s="2">
        <v>0</v>
      </c>
      <c r="J1389" t="str">
        <f>_xlfn.XLOOKUP(Table2[[#This Row],[Customer_ID]],Table1[Customer_ID],Table1[Customer_Name])</f>
        <v>Eliseo Mangual</v>
      </c>
    </row>
    <row r="1390" spans="1:10" x14ac:dyDescent="0.35">
      <c r="A1390" s="4">
        <v>40661</v>
      </c>
      <c r="B1390" s="2">
        <v>10489</v>
      </c>
      <c r="C1390" s="2">
        <v>255</v>
      </c>
      <c r="D1390" s="2">
        <v>42</v>
      </c>
      <c r="E1390" s="2">
        <v>86</v>
      </c>
      <c r="F1390" s="2">
        <v>2</v>
      </c>
      <c r="G1390" s="2">
        <v>9</v>
      </c>
      <c r="H1390" s="2">
        <v>2</v>
      </c>
      <c r="I1390" s="2">
        <v>0</v>
      </c>
      <c r="J1390" t="str">
        <f>_xlfn.XLOOKUP(Table2[[#This Row],[Customer_ID]],Table1[Customer_ID],Table1[Customer_Name])</f>
        <v>Eliseo Mangual</v>
      </c>
    </row>
    <row r="1391" spans="1:10" x14ac:dyDescent="0.35">
      <c r="A1391" s="4">
        <v>40664</v>
      </c>
      <c r="B1391" s="2">
        <v>10491</v>
      </c>
      <c r="C1391" s="2">
        <v>191</v>
      </c>
      <c r="D1391" s="2">
        <v>44</v>
      </c>
      <c r="E1391" s="2">
        <v>12</v>
      </c>
      <c r="F1391" s="2">
        <v>2</v>
      </c>
      <c r="G1391" s="2">
        <v>2</v>
      </c>
      <c r="H1391" s="2">
        <v>11</v>
      </c>
      <c r="I1391" s="2">
        <v>0</v>
      </c>
      <c r="J1391" t="str">
        <f>_xlfn.XLOOKUP(Table2[[#This Row],[Customer_ID]],Table1[Customer_ID],Table1[Customer_Name])</f>
        <v>Eura Gordan</v>
      </c>
    </row>
    <row r="1392" spans="1:10" x14ac:dyDescent="0.35">
      <c r="A1392" s="4">
        <v>40664</v>
      </c>
      <c r="B1392" s="2">
        <v>10491</v>
      </c>
      <c r="C1392" s="2">
        <v>209</v>
      </c>
      <c r="D1392" s="2">
        <v>44</v>
      </c>
      <c r="E1392" s="2">
        <v>12</v>
      </c>
      <c r="F1392" s="2">
        <v>2</v>
      </c>
      <c r="G1392" s="2">
        <v>1</v>
      </c>
      <c r="H1392" s="2">
        <v>11</v>
      </c>
      <c r="I1392" s="2">
        <v>0</v>
      </c>
      <c r="J1392" t="str">
        <f>_xlfn.XLOOKUP(Table2[[#This Row],[Customer_ID]],Table1[Customer_ID],Table1[Customer_Name])</f>
        <v>Eura Gordan</v>
      </c>
    </row>
    <row r="1393" spans="1:10" x14ac:dyDescent="0.35">
      <c r="A1393" s="4">
        <v>40666</v>
      </c>
      <c r="B1393" s="2">
        <v>10493</v>
      </c>
      <c r="C1393" s="2">
        <v>335</v>
      </c>
      <c r="D1393" s="2">
        <v>46</v>
      </c>
      <c r="E1393" s="2">
        <v>3</v>
      </c>
      <c r="F1393" s="2">
        <v>2</v>
      </c>
      <c r="G1393" s="2">
        <v>2</v>
      </c>
      <c r="H1393" s="2">
        <v>4</v>
      </c>
      <c r="I1393" s="2">
        <v>0</v>
      </c>
      <c r="J1393" t="str">
        <f>_xlfn.XLOOKUP(Table2[[#This Row],[Customer_ID]],Table1[Customer_ID],Table1[Customer_Name])</f>
        <v>Fay Cumbo</v>
      </c>
    </row>
    <row r="1394" spans="1:10" x14ac:dyDescent="0.35">
      <c r="A1394" s="4">
        <v>40666</v>
      </c>
      <c r="B1394" s="2">
        <v>10493</v>
      </c>
      <c r="C1394" s="2">
        <v>228</v>
      </c>
      <c r="D1394" s="2">
        <v>46</v>
      </c>
      <c r="E1394" s="2">
        <v>3</v>
      </c>
      <c r="F1394" s="2">
        <v>2</v>
      </c>
      <c r="G1394" s="2">
        <v>2</v>
      </c>
      <c r="H1394" s="2">
        <v>3</v>
      </c>
      <c r="I1394" s="2">
        <v>0</v>
      </c>
      <c r="J1394" t="str">
        <f>_xlfn.XLOOKUP(Table2[[#This Row],[Customer_ID]],Table1[Customer_ID],Table1[Customer_Name])</f>
        <v>Fay Cumbo</v>
      </c>
    </row>
    <row r="1395" spans="1:10" x14ac:dyDescent="0.35">
      <c r="A1395" s="4">
        <v>40666</v>
      </c>
      <c r="B1395" s="2">
        <v>10493</v>
      </c>
      <c r="C1395" s="2">
        <v>337</v>
      </c>
      <c r="D1395" s="2">
        <v>46</v>
      </c>
      <c r="E1395" s="2">
        <v>3</v>
      </c>
      <c r="F1395" s="2">
        <v>2</v>
      </c>
      <c r="G1395" s="2">
        <v>2</v>
      </c>
      <c r="H1395" s="2">
        <v>4</v>
      </c>
      <c r="I1395" s="2">
        <v>0</v>
      </c>
      <c r="J1395" t="str">
        <f>_xlfn.XLOOKUP(Table2[[#This Row],[Customer_ID]],Table1[Customer_ID],Table1[Customer_Name])</f>
        <v>Fay Cumbo</v>
      </c>
    </row>
    <row r="1396" spans="1:10" x14ac:dyDescent="0.35">
      <c r="A1396" s="4">
        <v>40667</v>
      </c>
      <c r="B1396" s="2">
        <v>10495</v>
      </c>
      <c r="C1396" s="2">
        <v>318</v>
      </c>
      <c r="D1396" s="2">
        <v>48</v>
      </c>
      <c r="E1396" s="2">
        <v>18</v>
      </c>
      <c r="F1396" s="2">
        <v>2</v>
      </c>
      <c r="G1396" s="2">
        <v>1</v>
      </c>
      <c r="H1396" s="2">
        <v>3</v>
      </c>
      <c r="I1396" s="2">
        <v>0</v>
      </c>
      <c r="J1396" t="str">
        <f>_xlfn.XLOOKUP(Table2[[#This Row],[Customer_ID]],Table1[Customer_ID],Table1[Customer_Name])</f>
        <v>Federico Flores</v>
      </c>
    </row>
    <row r="1397" spans="1:10" x14ac:dyDescent="0.35">
      <c r="A1397" s="4">
        <v>40667</v>
      </c>
      <c r="B1397" s="2">
        <v>10495</v>
      </c>
      <c r="C1397" s="2">
        <v>262</v>
      </c>
      <c r="D1397" s="2">
        <v>48</v>
      </c>
      <c r="E1397" s="2">
        <v>18</v>
      </c>
      <c r="F1397" s="2">
        <v>2</v>
      </c>
      <c r="G1397" s="2">
        <v>2</v>
      </c>
      <c r="H1397" s="2">
        <v>3</v>
      </c>
      <c r="I1397" s="2">
        <v>0</v>
      </c>
      <c r="J1397" t="str">
        <f>_xlfn.XLOOKUP(Table2[[#This Row],[Customer_ID]],Table1[Customer_ID],Table1[Customer_Name])</f>
        <v>Federico Flores</v>
      </c>
    </row>
    <row r="1398" spans="1:10" x14ac:dyDescent="0.35">
      <c r="A1398" s="4">
        <v>40667</v>
      </c>
      <c r="B1398" s="2">
        <v>10495</v>
      </c>
      <c r="C1398" s="2">
        <v>269</v>
      </c>
      <c r="D1398" s="2">
        <v>48</v>
      </c>
      <c r="E1398" s="2">
        <v>18</v>
      </c>
      <c r="F1398" s="2">
        <v>2</v>
      </c>
      <c r="G1398" s="2">
        <v>3</v>
      </c>
      <c r="H1398" s="2">
        <v>3</v>
      </c>
      <c r="I1398" s="2">
        <v>0</v>
      </c>
      <c r="J1398" t="str">
        <f>_xlfn.XLOOKUP(Table2[[#This Row],[Customer_ID]],Table1[Customer_ID],Table1[Customer_Name])</f>
        <v>Federico Flores</v>
      </c>
    </row>
    <row r="1399" spans="1:10" x14ac:dyDescent="0.35">
      <c r="A1399" s="4">
        <v>40668</v>
      </c>
      <c r="B1399" s="2">
        <v>10497</v>
      </c>
      <c r="C1399" s="2">
        <v>128</v>
      </c>
      <c r="D1399" s="2">
        <v>50</v>
      </c>
      <c r="E1399" s="2">
        <v>83</v>
      </c>
      <c r="F1399" s="2">
        <v>2</v>
      </c>
      <c r="G1399" s="2">
        <v>1</v>
      </c>
      <c r="H1399" s="2">
        <v>644</v>
      </c>
      <c r="I1399" s="2">
        <v>0</v>
      </c>
      <c r="J1399" t="str">
        <f>_xlfn.XLOOKUP(Table2[[#This Row],[Customer_ID]],Table1[Customer_ID],Table1[Customer_Name])</f>
        <v>Gia Junkin</v>
      </c>
    </row>
    <row r="1400" spans="1:10" x14ac:dyDescent="0.35">
      <c r="A1400" s="4">
        <v>40668</v>
      </c>
      <c r="B1400" s="2">
        <v>10497</v>
      </c>
      <c r="C1400" s="2">
        <v>130</v>
      </c>
      <c r="D1400" s="2">
        <v>50</v>
      </c>
      <c r="E1400" s="2">
        <v>83</v>
      </c>
      <c r="F1400" s="2">
        <v>2</v>
      </c>
      <c r="G1400" s="2">
        <v>1</v>
      </c>
      <c r="H1400" s="2">
        <v>1181</v>
      </c>
      <c r="I1400" s="2">
        <v>0</v>
      </c>
      <c r="J1400" t="str">
        <f>_xlfn.XLOOKUP(Table2[[#This Row],[Customer_ID]],Table1[Customer_ID],Table1[Customer_Name])</f>
        <v>Gia Junkin</v>
      </c>
    </row>
    <row r="1401" spans="1:10" x14ac:dyDescent="0.35">
      <c r="A1401" s="4">
        <v>40668</v>
      </c>
      <c r="B1401" s="2">
        <v>10497</v>
      </c>
      <c r="C1401" s="2">
        <v>126</v>
      </c>
      <c r="D1401" s="2">
        <v>50</v>
      </c>
      <c r="E1401" s="2">
        <v>83</v>
      </c>
      <c r="F1401" s="2">
        <v>2</v>
      </c>
      <c r="G1401" s="2">
        <v>9</v>
      </c>
      <c r="H1401" s="2">
        <v>450</v>
      </c>
      <c r="I1401" s="2">
        <v>0</v>
      </c>
      <c r="J1401" t="str">
        <f>_xlfn.XLOOKUP(Table2[[#This Row],[Customer_ID]],Table1[Customer_ID],Table1[Customer_Name])</f>
        <v>Gia Junkin</v>
      </c>
    </row>
    <row r="1402" spans="1:10" x14ac:dyDescent="0.35">
      <c r="A1402" s="4">
        <v>40672</v>
      </c>
      <c r="B1402" s="2">
        <v>10499</v>
      </c>
      <c r="C1402" s="2">
        <v>199</v>
      </c>
      <c r="D1402" s="2">
        <v>52</v>
      </c>
      <c r="E1402" s="2">
        <v>32</v>
      </c>
      <c r="F1402" s="2">
        <v>2</v>
      </c>
      <c r="G1402" s="2">
        <v>1</v>
      </c>
      <c r="H1402" s="2">
        <v>3</v>
      </c>
      <c r="I1402" s="2">
        <v>0</v>
      </c>
      <c r="J1402" t="str">
        <f>_xlfn.XLOOKUP(Table2[[#This Row],[Customer_ID]],Table1[Customer_ID],Table1[Customer_Name])</f>
        <v>Glennis Going</v>
      </c>
    </row>
    <row r="1403" spans="1:10" x14ac:dyDescent="0.35">
      <c r="A1403" s="4">
        <v>40672</v>
      </c>
      <c r="B1403" s="2">
        <v>10499</v>
      </c>
      <c r="C1403" s="2">
        <v>197</v>
      </c>
      <c r="D1403" s="2">
        <v>52</v>
      </c>
      <c r="E1403" s="2">
        <v>32</v>
      </c>
      <c r="F1403" s="2">
        <v>2</v>
      </c>
      <c r="G1403" s="2">
        <v>4</v>
      </c>
      <c r="H1403" s="2">
        <v>3</v>
      </c>
      <c r="I1403" s="2">
        <v>0</v>
      </c>
      <c r="J1403" t="str">
        <f>_xlfn.XLOOKUP(Table2[[#This Row],[Customer_ID]],Table1[Customer_ID],Table1[Customer_Name])</f>
        <v>Glennis Going</v>
      </c>
    </row>
    <row r="1404" spans="1:10" x14ac:dyDescent="0.35">
      <c r="A1404" s="4">
        <v>40673</v>
      </c>
      <c r="B1404" s="2">
        <v>10501</v>
      </c>
      <c r="C1404" s="2">
        <v>293</v>
      </c>
      <c r="D1404" s="2">
        <v>54</v>
      </c>
      <c r="E1404" s="2">
        <v>42</v>
      </c>
      <c r="F1404" s="2">
        <v>2</v>
      </c>
      <c r="G1404" s="2">
        <v>3</v>
      </c>
      <c r="H1404" s="2">
        <v>2</v>
      </c>
      <c r="I1404" s="2">
        <v>0</v>
      </c>
      <c r="J1404" t="str">
        <f>_xlfn.XLOOKUP(Table2[[#This Row],[Customer_ID]],Table1[Customer_ID],Table1[Customer_Name])</f>
        <v>Harmony Burell</v>
      </c>
    </row>
    <row r="1405" spans="1:10" x14ac:dyDescent="0.35">
      <c r="A1405" s="4">
        <v>40675</v>
      </c>
      <c r="B1405" s="2">
        <v>10503</v>
      </c>
      <c r="C1405" s="2">
        <v>382</v>
      </c>
      <c r="D1405" s="2">
        <v>56</v>
      </c>
      <c r="E1405" s="2">
        <v>50</v>
      </c>
      <c r="F1405" s="2">
        <v>2</v>
      </c>
      <c r="G1405" s="2">
        <v>7</v>
      </c>
      <c r="H1405" s="2">
        <v>5</v>
      </c>
      <c r="I1405" s="2">
        <v>0</v>
      </c>
      <c r="J1405" t="str">
        <f>_xlfn.XLOOKUP(Table2[[#This Row],[Customer_ID]],Table1[Customer_ID],Table1[Customer_Name])</f>
        <v>Hsiu Hinrichs</v>
      </c>
    </row>
    <row r="1406" spans="1:10" x14ac:dyDescent="0.35">
      <c r="A1406" s="4">
        <v>40675</v>
      </c>
      <c r="B1406" s="2">
        <v>10503</v>
      </c>
      <c r="C1406" s="2">
        <v>383</v>
      </c>
      <c r="D1406" s="2">
        <v>56</v>
      </c>
      <c r="E1406" s="2">
        <v>50</v>
      </c>
      <c r="F1406" s="2">
        <v>2</v>
      </c>
      <c r="G1406" s="2">
        <v>3</v>
      </c>
      <c r="H1406" s="2">
        <v>9</v>
      </c>
      <c r="I1406" s="2">
        <v>0</v>
      </c>
      <c r="J1406" t="str">
        <f>_xlfn.XLOOKUP(Table2[[#This Row],[Customer_ID]],Table1[Customer_ID],Table1[Customer_Name])</f>
        <v>Hsiu Hinrichs</v>
      </c>
    </row>
    <row r="1407" spans="1:10" x14ac:dyDescent="0.35">
      <c r="A1407" s="4">
        <v>40678</v>
      </c>
      <c r="B1407" s="2">
        <v>10505</v>
      </c>
      <c r="C1407" s="2">
        <v>377</v>
      </c>
      <c r="D1407" s="2">
        <v>58</v>
      </c>
      <c r="E1407" s="2">
        <v>41</v>
      </c>
      <c r="F1407" s="2">
        <v>2</v>
      </c>
      <c r="G1407" s="2">
        <v>2</v>
      </c>
      <c r="H1407" s="2">
        <v>3</v>
      </c>
      <c r="I1407" s="2">
        <v>0</v>
      </c>
      <c r="J1407" t="str">
        <f>_xlfn.XLOOKUP(Table2[[#This Row],[Customer_ID]],Table1[Customer_ID],Table1[Customer_Name])</f>
        <v>Isis Isom</v>
      </c>
    </row>
    <row r="1408" spans="1:10" x14ac:dyDescent="0.35">
      <c r="A1408" s="4">
        <v>40679</v>
      </c>
      <c r="B1408" s="2">
        <v>10507</v>
      </c>
      <c r="C1408" s="2">
        <v>376</v>
      </c>
      <c r="D1408" s="2">
        <v>60</v>
      </c>
      <c r="E1408" s="2">
        <v>80</v>
      </c>
      <c r="F1408" s="2">
        <v>2</v>
      </c>
      <c r="G1408" s="2">
        <v>5</v>
      </c>
      <c r="H1408" s="2">
        <v>4</v>
      </c>
      <c r="I1408" s="2">
        <v>0</v>
      </c>
      <c r="J1408" t="str">
        <f>_xlfn.XLOOKUP(Table2[[#This Row],[Customer_ID]],Table1[Customer_ID],Table1[Customer_Name])</f>
        <v>Janetta Jhonson</v>
      </c>
    </row>
    <row r="1409" spans="1:10" x14ac:dyDescent="0.35">
      <c r="A1409" s="4">
        <v>40679</v>
      </c>
      <c r="B1409" s="2">
        <v>10507</v>
      </c>
      <c r="C1409" s="2">
        <v>196</v>
      </c>
      <c r="D1409" s="2">
        <v>60</v>
      </c>
      <c r="E1409" s="2">
        <v>80</v>
      </c>
      <c r="F1409" s="2">
        <v>2</v>
      </c>
      <c r="G1409" s="2">
        <v>9</v>
      </c>
      <c r="H1409" s="2">
        <v>5</v>
      </c>
      <c r="I1409" s="2">
        <v>0</v>
      </c>
      <c r="J1409" t="str">
        <f>_xlfn.XLOOKUP(Table2[[#This Row],[Customer_ID]],Table1[Customer_ID],Table1[Customer_Name])</f>
        <v>Janetta Jhonson</v>
      </c>
    </row>
    <row r="1410" spans="1:10" x14ac:dyDescent="0.35">
      <c r="A1410" s="4">
        <v>40681</v>
      </c>
      <c r="B1410" s="2">
        <v>10509</v>
      </c>
      <c r="C1410" s="2">
        <v>268</v>
      </c>
      <c r="D1410" s="2">
        <v>62</v>
      </c>
      <c r="E1410" s="2">
        <v>53</v>
      </c>
      <c r="F1410" s="2">
        <v>2</v>
      </c>
      <c r="G1410" s="2">
        <v>4</v>
      </c>
      <c r="H1410" s="2">
        <v>3</v>
      </c>
      <c r="I1410" s="2">
        <v>0</v>
      </c>
      <c r="J1410" t="str">
        <f>_xlfn.XLOOKUP(Table2[[#This Row],[Customer_ID]],Table1[Customer_ID],Table1[Customer_Name])</f>
        <v>Jeanine Chavez</v>
      </c>
    </row>
    <row r="1411" spans="1:10" x14ac:dyDescent="0.35">
      <c r="A1411" s="4">
        <v>40682</v>
      </c>
      <c r="B1411" s="2">
        <v>10511</v>
      </c>
      <c r="C1411" s="2">
        <v>270</v>
      </c>
      <c r="D1411" s="2">
        <v>64</v>
      </c>
      <c r="E1411" s="2">
        <v>8</v>
      </c>
      <c r="F1411" s="2">
        <v>2</v>
      </c>
      <c r="G1411" s="2">
        <v>1</v>
      </c>
      <c r="H1411" s="2">
        <v>3</v>
      </c>
      <c r="I1411" s="2">
        <v>0</v>
      </c>
      <c r="J1411" t="str">
        <f>_xlfn.XLOOKUP(Table2[[#This Row],[Customer_ID]],Table1[Customer_ID],Table1[Customer_Name])</f>
        <v>Josephine Escoto</v>
      </c>
    </row>
    <row r="1412" spans="1:10" x14ac:dyDescent="0.35">
      <c r="A1412" s="4">
        <v>40682</v>
      </c>
      <c r="B1412" s="2">
        <v>10511</v>
      </c>
      <c r="C1412" s="2">
        <v>193</v>
      </c>
      <c r="D1412" s="2">
        <v>64</v>
      </c>
      <c r="E1412" s="2">
        <v>8</v>
      </c>
      <c r="F1412" s="2">
        <v>2</v>
      </c>
      <c r="G1412" s="2">
        <v>8</v>
      </c>
      <c r="H1412" s="2">
        <v>5</v>
      </c>
      <c r="I1412" s="2">
        <v>0</v>
      </c>
      <c r="J1412" t="str">
        <f>_xlfn.XLOOKUP(Table2[[#This Row],[Customer_ID]],Table1[Customer_ID],Table1[Customer_Name])</f>
        <v>Josephine Escoto</v>
      </c>
    </row>
    <row r="1413" spans="1:10" x14ac:dyDescent="0.35">
      <c r="A1413" s="4">
        <v>40682</v>
      </c>
      <c r="B1413" s="2">
        <v>10511</v>
      </c>
      <c r="C1413" s="2">
        <v>264</v>
      </c>
      <c r="D1413" s="2">
        <v>64</v>
      </c>
      <c r="E1413" s="2">
        <v>8</v>
      </c>
      <c r="F1413" s="2">
        <v>2</v>
      </c>
      <c r="G1413" s="2">
        <v>3</v>
      </c>
      <c r="H1413" s="2">
        <v>6</v>
      </c>
      <c r="I1413" s="2">
        <v>0</v>
      </c>
      <c r="J1413" t="str">
        <f>_xlfn.XLOOKUP(Table2[[#This Row],[Customer_ID]],Table1[Customer_ID],Table1[Customer_Name])</f>
        <v>Josephine Escoto</v>
      </c>
    </row>
    <row r="1414" spans="1:10" x14ac:dyDescent="0.35">
      <c r="A1414" s="4">
        <v>40686</v>
      </c>
      <c r="B1414" s="2">
        <v>10513</v>
      </c>
      <c r="C1414" s="2">
        <v>235</v>
      </c>
      <c r="D1414" s="2">
        <v>66</v>
      </c>
      <c r="F1414" s="2">
        <v>2</v>
      </c>
      <c r="G1414" s="2">
        <v>7</v>
      </c>
      <c r="H1414" s="2">
        <v>27</v>
      </c>
      <c r="I1414" s="2">
        <v>0</v>
      </c>
      <c r="J1414" t="str">
        <f>_xlfn.XLOOKUP(Table2[[#This Row],[Customer_ID]],Table1[Customer_ID],Table1[Customer_Name])</f>
        <v>Julieta Hard</v>
      </c>
    </row>
    <row r="1415" spans="1:10" x14ac:dyDescent="0.35">
      <c r="A1415" s="4">
        <v>40686</v>
      </c>
      <c r="B1415" s="2">
        <v>10513</v>
      </c>
      <c r="C1415" s="2">
        <v>223</v>
      </c>
      <c r="D1415" s="2">
        <v>66</v>
      </c>
      <c r="F1415" s="2">
        <v>2</v>
      </c>
      <c r="G1415" s="2">
        <v>2</v>
      </c>
      <c r="H1415" s="2">
        <v>4</v>
      </c>
      <c r="I1415" s="2">
        <v>0</v>
      </c>
      <c r="J1415" t="str">
        <f>_xlfn.XLOOKUP(Table2[[#This Row],[Customer_ID]],Table1[Customer_ID],Table1[Customer_Name])</f>
        <v>Julieta Hard</v>
      </c>
    </row>
    <row r="1416" spans="1:10" x14ac:dyDescent="0.35">
      <c r="A1416" s="4">
        <v>40686</v>
      </c>
      <c r="B1416" s="2">
        <v>10513</v>
      </c>
      <c r="C1416" s="2">
        <v>213</v>
      </c>
      <c r="D1416" s="2">
        <v>66</v>
      </c>
      <c r="F1416" s="2">
        <v>2</v>
      </c>
      <c r="G1416" s="2">
        <v>3</v>
      </c>
      <c r="H1416" s="2">
        <v>2</v>
      </c>
      <c r="I1416" s="2">
        <v>0</v>
      </c>
      <c r="J1416" t="str">
        <f>_xlfn.XLOOKUP(Table2[[#This Row],[Customer_ID]],Table1[Customer_ID],Table1[Customer_Name])</f>
        <v>Julieta Hard</v>
      </c>
    </row>
    <row r="1417" spans="1:10" x14ac:dyDescent="0.35">
      <c r="A1417" s="4">
        <v>40687</v>
      </c>
      <c r="B1417" s="2">
        <v>10515</v>
      </c>
      <c r="C1417" s="2">
        <v>276</v>
      </c>
      <c r="D1417" s="2">
        <v>68</v>
      </c>
      <c r="F1417" s="2">
        <v>2</v>
      </c>
      <c r="G1417" s="2">
        <v>3</v>
      </c>
      <c r="H1417" s="2">
        <v>3</v>
      </c>
      <c r="I1417" s="2">
        <v>0</v>
      </c>
      <c r="J1417" t="str">
        <f>_xlfn.XLOOKUP(Table2[[#This Row],[Customer_ID]],Table1[Customer_ID],Table1[Customer_Name])</f>
        <v>Kandy Tully</v>
      </c>
    </row>
    <row r="1418" spans="1:10" x14ac:dyDescent="0.35">
      <c r="A1418" s="4">
        <v>40687</v>
      </c>
      <c r="B1418" s="2">
        <v>10515</v>
      </c>
      <c r="C1418" s="2">
        <v>246</v>
      </c>
      <c r="D1418" s="2">
        <v>68</v>
      </c>
      <c r="F1418" s="2">
        <v>2</v>
      </c>
      <c r="G1418" s="2">
        <v>1</v>
      </c>
      <c r="H1418" s="2">
        <v>3</v>
      </c>
      <c r="I1418" s="2">
        <v>0</v>
      </c>
      <c r="J1418" t="str">
        <f>_xlfn.XLOOKUP(Table2[[#This Row],[Customer_ID]],Table1[Customer_ID],Table1[Customer_Name])</f>
        <v>Kandy Tully</v>
      </c>
    </row>
    <row r="1419" spans="1:10" x14ac:dyDescent="0.35">
      <c r="A1419" s="4">
        <v>40687</v>
      </c>
      <c r="B1419" s="2">
        <v>10515</v>
      </c>
      <c r="C1419" s="2">
        <v>265</v>
      </c>
      <c r="D1419" s="2">
        <v>68</v>
      </c>
      <c r="F1419" s="2">
        <v>2</v>
      </c>
      <c r="G1419" s="2">
        <v>2</v>
      </c>
      <c r="H1419" s="2">
        <v>2</v>
      </c>
      <c r="I1419" s="2">
        <v>0</v>
      </c>
      <c r="J1419" t="str">
        <f>_xlfn.XLOOKUP(Table2[[#This Row],[Customer_ID]],Table1[Customer_ID],Table1[Customer_Name])</f>
        <v>Kandy Tully</v>
      </c>
    </row>
    <row r="1420" spans="1:10" x14ac:dyDescent="0.35">
      <c r="A1420" s="4">
        <v>40687</v>
      </c>
      <c r="B1420" s="2">
        <v>10515</v>
      </c>
      <c r="C1420" s="2">
        <v>237</v>
      </c>
      <c r="D1420" s="2">
        <v>68</v>
      </c>
      <c r="F1420" s="2">
        <v>2</v>
      </c>
      <c r="G1420" s="2">
        <v>8</v>
      </c>
      <c r="H1420" s="2">
        <v>18</v>
      </c>
      <c r="I1420" s="2">
        <v>0</v>
      </c>
      <c r="J1420" t="str">
        <f>_xlfn.XLOOKUP(Table2[[#This Row],[Customer_ID]],Table1[Customer_ID],Table1[Customer_Name])</f>
        <v>Kandy Tully</v>
      </c>
    </row>
    <row r="1421" spans="1:10" x14ac:dyDescent="0.35">
      <c r="A1421" s="4">
        <v>40687</v>
      </c>
      <c r="B1421" s="2">
        <v>10515</v>
      </c>
      <c r="C1421" s="2">
        <v>274</v>
      </c>
      <c r="D1421" s="2">
        <v>68</v>
      </c>
      <c r="F1421" s="2">
        <v>2</v>
      </c>
      <c r="G1421" s="2">
        <v>8</v>
      </c>
      <c r="H1421" s="2">
        <v>3</v>
      </c>
      <c r="I1421" s="2">
        <v>0</v>
      </c>
      <c r="J1421" t="str">
        <f>_xlfn.XLOOKUP(Table2[[#This Row],[Customer_ID]],Table1[Customer_ID],Table1[Customer_Name])</f>
        <v>Kandy Tully</v>
      </c>
    </row>
    <row r="1422" spans="1:10" x14ac:dyDescent="0.35">
      <c r="A1422" s="4">
        <v>40688</v>
      </c>
      <c r="B1422" s="2">
        <v>10517</v>
      </c>
      <c r="C1422" s="2">
        <v>295</v>
      </c>
      <c r="D1422" s="2">
        <v>70</v>
      </c>
      <c r="F1422" s="2">
        <v>2</v>
      </c>
      <c r="G1422" s="2">
        <v>1</v>
      </c>
      <c r="H1422" s="2">
        <v>3</v>
      </c>
      <c r="I1422" s="2">
        <v>0</v>
      </c>
      <c r="J1422" t="str">
        <f>_xlfn.XLOOKUP(Table2[[#This Row],[Customer_ID]],Table1[Customer_ID],Table1[Customer_Name])</f>
        <v>Karina Lisle</v>
      </c>
    </row>
    <row r="1423" spans="1:10" x14ac:dyDescent="0.35">
      <c r="A1423" s="4">
        <v>40688</v>
      </c>
      <c r="B1423" s="2">
        <v>10517</v>
      </c>
      <c r="C1423" s="2">
        <v>201</v>
      </c>
      <c r="D1423" s="2">
        <v>70</v>
      </c>
      <c r="F1423" s="2">
        <v>2</v>
      </c>
      <c r="G1423" s="2">
        <v>2</v>
      </c>
      <c r="H1423" s="2">
        <v>4</v>
      </c>
      <c r="I1423" s="2">
        <v>0</v>
      </c>
      <c r="J1423" t="str">
        <f>_xlfn.XLOOKUP(Table2[[#This Row],[Customer_ID]],Table1[Customer_ID],Table1[Customer_Name])</f>
        <v>Karina Lisle</v>
      </c>
    </row>
    <row r="1424" spans="1:10" x14ac:dyDescent="0.35">
      <c r="A1424" s="4">
        <v>40688</v>
      </c>
      <c r="B1424" s="2">
        <v>10517</v>
      </c>
      <c r="C1424" s="2">
        <v>203</v>
      </c>
      <c r="D1424" s="2">
        <v>70</v>
      </c>
      <c r="F1424" s="2">
        <v>2</v>
      </c>
      <c r="G1424" s="2">
        <v>3</v>
      </c>
      <c r="H1424" s="2">
        <v>5</v>
      </c>
      <c r="I1424" s="2">
        <v>0</v>
      </c>
      <c r="J1424" t="str">
        <f>_xlfn.XLOOKUP(Table2[[#This Row],[Customer_ID]],Table1[Customer_ID],Table1[Customer_Name])</f>
        <v>Karina Lisle</v>
      </c>
    </row>
    <row r="1425" spans="1:10" x14ac:dyDescent="0.35">
      <c r="A1425" s="4">
        <v>40692</v>
      </c>
      <c r="B1425" s="2">
        <v>10519</v>
      </c>
      <c r="C1425" s="2">
        <v>161</v>
      </c>
      <c r="D1425" s="2">
        <v>72</v>
      </c>
      <c r="F1425" s="2">
        <v>2</v>
      </c>
      <c r="G1425" s="2">
        <v>8</v>
      </c>
      <c r="H1425" s="2">
        <v>5759</v>
      </c>
      <c r="I1425" s="2">
        <v>0</v>
      </c>
      <c r="J1425" t="str">
        <f>_xlfn.XLOOKUP(Table2[[#This Row],[Customer_ID]],Table1[Customer_ID],Table1[Customer_Name])</f>
        <v>Karla Munoz</v>
      </c>
    </row>
    <row r="1426" spans="1:10" x14ac:dyDescent="0.35">
      <c r="A1426" s="4">
        <v>40692</v>
      </c>
      <c r="B1426" s="2">
        <v>10519</v>
      </c>
      <c r="C1426" s="2">
        <v>152</v>
      </c>
      <c r="D1426" s="2">
        <v>72</v>
      </c>
      <c r="F1426" s="2">
        <v>2</v>
      </c>
      <c r="G1426" s="2">
        <v>1</v>
      </c>
      <c r="H1426" s="2">
        <v>517</v>
      </c>
      <c r="I1426" s="2">
        <v>0</v>
      </c>
      <c r="J1426" t="str">
        <f>_xlfn.XLOOKUP(Table2[[#This Row],[Customer_ID]],Table1[Customer_ID],Table1[Customer_Name])</f>
        <v>Karla Munoz</v>
      </c>
    </row>
    <row r="1427" spans="1:10" x14ac:dyDescent="0.35">
      <c r="A1427" s="4">
        <v>40692</v>
      </c>
      <c r="B1427" s="2">
        <v>10519</v>
      </c>
      <c r="C1427" s="2">
        <v>150</v>
      </c>
      <c r="D1427" s="2">
        <v>72</v>
      </c>
      <c r="F1427" s="2">
        <v>2</v>
      </c>
      <c r="G1427" s="2">
        <v>5</v>
      </c>
      <c r="H1427" s="2">
        <v>534</v>
      </c>
      <c r="I1427" s="2">
        <v>0</v>
      </c>
      <c r="J1427" t="str">
        <f>_xlfn.XLOOKUP(Table2[[#This Row],[Customer_ID]],Table1[Customer_ID],Table1[Customer_Name])</f>
        <v>Karla Munoz</v>
      </c>
    </row>
    <row r="1428" spans="1:10" x14ac:dyDescent="0.35">
      <c r="A1428" s="4">
        <v>40693</v>
      </c>
      <c r="B1428" s="2">
        <v>10521</v>
      </c>
      <c r="C1428" s="2">
        <v>154</v>
      </c>
      <c r="D1428" s="2">
        <v>74</v>
      </c>
      <c r="F1428" s="2">
        <v>2</v>
      </c>
      <c r="G1428" s="2">
        <v>5</v>
      </c>
      <c r="H1428" s="2">
        <v>1079</v>
      </c>
      <c r="I1428" s="2">
        <v>0</v>
      </c>
      <c r="J1428" t="str">
        <f>_xlfn.XLOOKUP(Table2[[#This Row],[Customer_ID]],Table1[Customer_ID],Table1[Customer_Name])</f>
        <v>Kazuko Serrato</v>
      </c>
    </row>
    <row r="1429" spans="1:10" x14ac:dyDescent="0.35">
      <c r="A1429" s="4">
        <v>40693</v>
      </c>
      <c r="B1429" s="2">
        <v>10521</v>
      </c>
      <c r="C1429" s="2">
        <v>158</v>
      </c>
      <c r="D1429" s="2">
        <v>74</v>
      </c>
      <c r="F1429" s="2">
        <v>2</v>
      </c>
      <c r="G1429" s="2">
        <v>8</v>
      </c>
      <c r="H1429" s="2">
        <v>2595</v>
      </c>
      <c r="I1429" s="2">
        <v>0</v>
      </c>
      <c r="J1429" t="str">
        <f>_xlfn.XLOOKUP(Table2[[#This Row],[Customer_ID]],Table1[Customer_ID],Table1[Customer_Name])</f>
        <v>Kazuko Serrato</v>
      </c>
    </row>
    <row r="1430" spans="1:10" x14ac:dyDescent="0.35">
      <c r="A1430" s="4">
        <v>40693</v>
      </c>
      <c r="B1430" s="2">
        <v>10521</v>
      </c>
      <c r="C1430" s="2">
        <v>155</v>
      </c>
      <c r="D1430" s="2">
        <v>74</v>
      </c>
      <c r="F1430" s="2">
        <v>2</v>
      </c>
      <c r="G1430" s="2">
        <v>3</v>
      </c>
      <c r="H1430" s="2">
        <v>852</v>
      </c>
      <c r="I1430" s="2">
        <v>0</v>
      </c>
      <c r="J1430" t="str">
        <f>_xlfn.XLOOKUP(Table2[[#This Row],[Customer_ID]],Table1[Customer_ID],Table1[Customer_Name])</f>
        <v>Kazuko Serrato</v>
      </c>
    </row>
    <row r="1431" spans="1:10" x14ac:dyDescent="0.35">
      <c r="A1431" s="4">
        <v>40695</v>
      </c>
      <c r="B1431" s="2">
        <v>10523</v>
      </c>
      <c r="C1431" s="2">
        <v>57</v>
      </c>
      <c r="D1431" s="2">
        <v>76</v>
      </c>
      <c r="F1431" s="2">
        <v>2</v>
      </c>
      <c r="G1431" s="2">
        <v>1</v>
      </c>
      <c r="H1431" s="2">
        <v>4</v>
      </c>
      <c r="I1431" s="2">
        <v>0</v>
      </c>
      <c r="J1431" t="str">
        <f>_xlfn.XLOOKUP(Table2[[#This Row],[Customer_ID]],Table1[Customer_ID],Table1[Customer_Name])</f>
        <v>Khalilah Demaria</v>
      </c>
    </row>
    <row r="1432" spans="1:10" x14ac:dyDescent="0.35">
      <c r="A1432" s="4">
        <v>40695</v>
      </c>
      <c r="B1432" s="2">
        <v>10523</v>
      </c>
      <c r="C1432" s="2">
        <v>34</v>
      </c>
      <c r="D1432" s="2">
        <v>76</v>
      </c>
      <c r="F1432" s="2">
        <v>2</v>
      </c>
      <c r="G1432" s="2">
        <v>1</v>
      </c>
      <c r="H1432" s="2">
        <v>9</v>
      </c>
      <c r="I1432" s="2">
        <v>0</v>
      </c>
      <c r="J1432" t="str">
        <f>_xlfn.XLOOKUP(Table2[[#This Row],[Customer_ID]],Table1[Customer_ID],Table1[Customer_Name])</f>
        <v>Khalilah Demaria</v>
      </c>
    </row>
    <row r="1433" spans="1:10" x14ac:dyDescent="0.35">
      <c r="A1433" s="4">
        <v>40695</v>
      </c>
      <c r="B1433" s="2">
        <v>10523</v>
      </c>
      <c r="C1433" s="2">
        <v>53</v>
      </c>
      <c r="D1433" s="2">
        <v>76</v>
      </c>
      <c r="F1433" s="2">
        <v>2</v>
      </c>
      <c r="G1433" s="2">
        <v>1</v>
      </c>
      <c r="H1433" s="2">
        <v>19</v>
      </c>
      <c r="I1433" s="2">
        <v>0</v>
      </c>
      <c r="J1433" t="str">
        <f>_xlfn.XLOOKUP(Table2[[#This Row],[Customer_ID]],Table1[Customer_ID],Table1[Customer_Name])</f>
        <v>Khalilah Demaria</v>
      </c>
    </row>
    <row r="1434" spans="1:10" x14ac:dyDescent="0.35">
      <c r="A1434" s="4">
        <v>40695</v>
      </c>
      <c r="B1434" s="2">
        <v>10523</v>
      </c>
      <c r="C1434" s="2">
        <v>68</v>
      </c>
      <c r="D1434" s="2">
        <v>76</v>
      </c>
      <c r="F1434" s="2">
        <v>2</v>
      </c>
      <c r="G1434" s="2">
        <v>2</v>
      </c>
      <c r="H1434" s="2">
        <v>23</v>
      </c>
      <c r="I1434" s="2">
        <v>0</v>
      </c>
      <c r="J1434" t="str">
        <f>_xlfn.XLOOKUP(Table2[[#This Row],[Customer_ID]],Table1[Customer_ID],Table1[Customer_Name])</f>
        <v>Khalilah Demaria</v>
      </c>
    </row>
    <row r="1435" spans="1:10" x14ac:dyDescent="0.35">
      <c r="A1435" s="4">
        <v>40696</v>
      </c>
      <c r="B1435" s="2">
        <v>10525</v>
      </c>
      <c r="C1435" s="2">
        <v>12</v>
      </c>
      <c r="D1435" s="2">
        <v>78</v>
      </c>
      <c r="F1435" s="2">
        <v>2</v>
      </c>
      <c r="G1435" s="2">
        <v>1</v>
      </c>
      <c r="H1435" s="2">
        <v>592</v>
      </c>
      <c r="I1435" s="2">
        <v>0</v>
      </c>
      <c r="J1435" t="str">
        <f>_xlfn.XLOOKUP(Table2[[#This Row],[Customer_ID]],Table1[Customer_ID],Table1[Customer_Name])</f>
        <v>Lacey Rollison</v>
      </c>
    </row>
    <row r="1436" spans="1:10" x14ac:dyDescent="0.35">
      <c r="A1436" s="4">
        <v>40696</v>
      </c>
      <c r="B1436" s="2">
        <v>10525</v>
      </c>
      <c r="C1436" s="2">
        <v>17</v>
      </c>
      <c r="D1436" s="2">
        <v>78</v>
      </c>
      <c r="F1436" s="2">
        <v>2</v>
      </c>
      <c r="G1436" s="2">
        <v>3</v>
      </c>
      <c r="H1436" s="2">
        <v>294</v>
      </c>
      <c r="I1436" s="2">
        <v>0</v>
      </c>
      <c r="J1436" t="str">
        <f>_xlfn.XLOOKUP(Table2[[#This Row],[Customer_ID]],Table1[Customer_ID],Table1[Customer_Name])</f>
        <v>Lacey Rollison</v>
      </c>
    </row>
    <row r="1437" spans="1:10" x14ac:dyDescent="0.35">
      <c r="A1437" s="4">
        <v>40699</v>
      </c>
      <c r="B1437" s="2">
        <v>10527</v>
      </c>
      <c r="C1437" s="2">
        <v>218</v>
      </c>
      <c r="D1437" s="2">
        <v>80</v>
      </c>
      <c r="F1437" s="2">
        <v>2</v>
      </c>
      <c r="G1437" s="2">
        <v>1</v>
      </c>
      <c r="H1437" s="2">
        <v>5</v>
      </c>
      <c r="I1437" s="2">
        <v>0</v>
      </c>
      <c r="J1437" t="str">
        <f>_xlfn.XLOOKUP(Table2[[#This Row],[Customer_ID]],Table1[Customer_ID],Table1[Customer_Name])</f>
        <v>Lashaunda Mynatt</v>
      </c>
    </row>
    <row r="1438" spans="1:10" x14ac:dyDescent="0.35">
      <c r="A1438" s="4">
        <v>40699</v>
      </c>
      <c r="B1438" s="2">
        <v>10527</v>
      </c>
      <c r="C1438" s="2">
        <v>15</v>
      </c>
      <c r="D1438" s="2">
        <v>80</v>
      </c>
      <c r="F1438" s="2">
        <v>2</v>
      </c>
      <c r="G1438" s="2">
        <v>8</v>
      </c>
      <c r="H1438" s="2">
        <v>428</v>
      </c>
      <c r="I1438" s="2">
        <v>0</v>
      </c>
      <c r="J1438" t="str">
        <f>_xlfn.XLOOKUP(Table2[[#This Row],[Customer_ID]],Table1[Customer_ID],Table1[Customer_Name])</f>
        <v>Lashaunda Mynatt</v>
      </c>
    </row>
    <row r="1439" spans="1:10" x14ac:dyDescent="0.35">
      <c r="A1439" s="4">
        <v>40701</v>
      </c>
      <c r="B1439" s="2">
        <v>10529</v>
      </c>
      <c r="C1439" s="2">
        <v>421</v>
      </c>
      <c r="D1439" s="2">
        <v>82</v>
      </c>
      <c r="F1439" s="2">
        <v>2</v>
      </c>
      <c r="G1439" s="2">
        <v>1</v>
      </c>
      <c r="H1439" s="2">
        <v>8</v>
      </c>
      <c r="I1439" s="2">
        <v>0</v>
      </c>
      <c r="J1439" t="str">
        <f>_xlfn.XLOOKUP(Table2[[#This Row],[Customer_ID]],Table1[Customer_ID],Table1[Customer_Name])</f>
        <v>Lesley Rue</v>
      </c>
    </row>
    <row r="1440" spans="1:10" x14ac:dyDescent="0.35">
      <c r="A1440" s="4">
        <v>40701</v>
      </c>
      <c r="B1440" s="2">
        <v>10529</v>
      </c>
      <c r="C1440" s="2">
        <v>167</v>
      </c>
      <c r="D1440" s="2">
        <v>82</v>
      </c>
      <c r="F1440" s="2">
        <v>2</v>
      </c>
      <c r="G1440" s="2">
        <v>1</v>
      </c>
      <c r="H1440" s="2">
        <v>278</v>
      </c>
      <c r="I1440" s="2">
        <v>0</v>
      </c>
      <c r="J1440" t="str">
        <f>_xlfn.XLOOKUP(Table2[[#This Row],[Customer_ID]],Table1[Customer_ID],Table1[Customer_Name])</f>
        <v>Lesley Rue</v>
      </c>
    </row>
    <row r="1441" spans="1:10" x14ac:dyDescent="0.35">
      <c r="A1441" s="4">
        <v>40701</v>
      </c>
      <c r="B1441" s="2">
        <v>10529</v>
      </c>
      <c r="C1441" s="2">
        <v>435</v>
      </c>
      <c r="D1441" s="2">
        <v>82</v>
      </c>
      <c r="F1441" s="2">
        <v>2</v>
      </c>
      <c r="G1441" s="2">
        <v>3</v>
      </c>
      <c r="H1441" s="2">
        <v>10</v>
      </c>
      <c r="I1441" s="2">
        <v>0</v>
      </c>
      <c r="J1441" t="str">
        <f>_xlfn.XLOOKUP(Table2[[#This Row],[Customer_ID]],Table1[Customer_ID],Table1[Customer_Name])</f>
        <v>Lesley Rue</v>
      </c>
    </row>
    <row r="1442" spans="1:10" x14ac:dyDescent="0.35">
      <c r="A1442" s="4">
        <v>40702</v>
      </c>
      <c r="B1442" s="2">
        <v>10531</v>
      </c>
      <c r="C1442" s="2">
        <v>175</v>
      </c>
      <c r="D1442" s="2">
        <v>84</v>
      </c>
      <c r="F1442" s="2">
        <v>2</v>
      </c>
      <c r="G1442" s="2">
        <v>3</v>
      </c>
      <c r="H1442" s="2">
        <v>270</v>
      </c>
      <c r="I1442" s="2">
        <v>0</v>
      </c>
      <c r="J1442" t="str">
        <f>_xlfn.XLOOKUP(Table2[[#This Row],[Customer_ID]],Table1[Customer_ID],Table1[Customer_Name])</f>
        <v>Linn Muncy</v>
      </c>
    </row>
    <row r="1443" spans="1:10" x14ac:dyDescent="0.35">
      <c r="A1443" s="4">
        <v>40706</v>
      </c>
      <c r="B1443" s="2">
        <v>10533</v>
      </c>
      <c r="C1443" s="2">
        <v>232</v>
      </c>
      <c r="D1443" s="2">
        <v>86</v>
      </c>
      <c r="F1443" s="2">
        <v>2</v>
      </c>
      <c r="G1443" s="2">
        <v>3</v>
      </c>
      <c r="H1443" s="2">
        <v>4</v>
      </c>
      <c r="I1443" s="2">
        <v>0</v>
      </c>
      <c r="J1443" t="str">
        <f>_xlfn.XLOOKUP(Table2[[#This Row],[Customer_ID]],Table1[Customer_ID],Table1[Customer_Name])</f>
        <v>Louann Luck</v>
      </c>
    </row>
    <row r="1444" spans="1:10" x14ac:dyDescent="0.35">
      <c r="A1444" s="4">
        <v>40706</v>
      </c>
      <c r="B1444" s="2">
        <v>10533</v>
      </c>
      <c r="C1444" s="2">
        <v>242</v>
      </c>
      <c r="D1444" s="2">
        <v>86</v>
      </c>
      <c r="F1444" s="2">
        <v>2</v>
      </c>
      <c r="G1444" s="2">
        <v>2</v>
      </c>
      <c r="H1444" s="2">
        <v>20</v>
      </c>
      <c r="I1444" s="2">
        <v>0</v>
      </c>
      <c r="J1444" t="str">
        <f>_xlfn.XLOOKUP(Table2[[#This Row],[Customer_ID]],Table1[Customer_ID],Table1[Customer_Name])</f>
        <v>Louann Luck</v>
      </c>
    </row>
    <row r="1445" spans="1:10" x14ac:dyDescent="0.35">
      <c r="A1445" s="4">
        <v>40706</v>
      </c>
      <c r="B1445" s="2">
        <v>10533</v>
      </c>
      <c r="C1445" s="2">
        <v>289</v>
      </c>
      <c r="D1445" s="2">
        <v>86</v>
      </c>
      <c r="F1445" s="2">
        <v>2</v>
      </c>
      <c r="G1445" s="2">
        <v>1</v>
      </c>
      <c r="H1445" s="2">
        <v>4</v>
      </c>
      <c r="I1445" s="2">
        <v>0</v>
      </c>
      <c r="J1445" t="str">
        <f>_xlfn.XLOOKUP(Table2[[#This Row],[Customer_ID]],Table1[Customer_ID],Table1[Customer_Name])</f>
        <v>Louann Luck</v>
      </c>
    </row>
    <row r="1446" spans="1:10" x14ac:dyDescent="0.35">
      <c r="A1446" s="4">
        <v>40707</v>
      </c>
      <c r="B1446" s="2">
        <v>10535</v>
      </c>
      <c r="C1446" s="2">
        <v>40</v>
      </c>
      <c r="D1446" s="2">
        <v>88</v>
      </c>
      <c r="F1446" s="2">
        <v>2</v>
      </c>
      <c r="G1446" s="2">
        <v>1</v>
      </c>
      <c r="H1446" s="2">
        <v>15</v>
      </c>
      <c r="I1446" s="2">
        <v>0</v>
      </c>
      <c r="J1446" t="str">
        <f>_xlfn.XLOOKUP(Table2[[#This Row],[Customer_ID]],Table1[Customer_ID],Table1[Customer_Name])</f>
        <v>Marlene Daniell</v>
      </c>
    </row>
    <row r="1447" spans="1:10" x14ac:dyDescent="0.35">
      <c r="A1447" s="4">
        <v>40707</v>
      </c>
      <c r="B1447" s="2">
        <v>10535</v>
      </c>
      <c r="C1447" s="2">
        <v>301</v>
      </c>
      <c r="D1447" s="2">
        <v>88</v>
      </c>
      <c r="F1447" s="2">
        <v>2</v>
      </c>
      <c r="G1447" s="2">
        <v>4</v>
      </c>
      <c r="H1447" s="2">
        <v>26</v>
      </c>
      <c r="I1447" s="2">
        <v>0</v>
      </c>
      <c r="J1447" t="str">
        <f>_xlfn.XLOOKUP(Table2[[#This Row],[Customer_ID]],Table1[Customer_ID],Table1[Customer_Name])</f>
        <v>Marlene Daniell</v>
      </c>
    </row>
    <row r="1448" spans="1:10" x14ac:dyDescent="0.35">
      <c r="A1448" s="4">
        <v>40707</v>
      </c>
      <c r="B1448" s="2">
        <v>10535</v>
      </c>
      <c r="C1448" s="2">
        <v>436</v>
      </c>
      <c r="D1448" s="2">
        <v>88</v>
      </c>
      <c r="F1448" s="2">
        <v>2</v>
      </c>
      <c r="G1448" s="2">
        <v>8</v>
      </c>
      <c r="H1448" s="2">
        <v>8</v>
      </c>
      <c r="I1448" s="2">
        <v>0</v>
      </c>
      <c r="J1448" t="str">
        <f>_xlfn.XLOOKUP(Table2[[#This Row],[Customer_ID]],Table1[Customer_ID],Table1[Customer_Name])</f>
        <v>Marlene Daniell</v>
      </c>
    </row>
    <row r="1449" spans="1:10" x14ac:dyDescent="0.35">
      <c r="A1449" s="4">
        <v>40707</v>
      </c>
      <c r="B1449" s="2">
        <v>10535</v>
      </c>
      <c r="C1449" s="2">
        <v>42</v>
      </c>
      <c r="D1449" s="2">
        <v>88</v>
      </c>
      <c r="F1449" s="2">
        <v>2</v>
      </c>
      <c r="G1449" s="2">
        <v>5</v>
      </c>
      <c r="H1449" s="2">
        <v>13</v>
      </c>
      <c r="I1449" s="2">
        <v>0</v>
      </c>
      <c r="J1449" t="str">
        <f>_xlfn.XLOOKUP(Table2[[#This Row],[Customer_ID]],Table1[Customer_ID],Table1[Customer_Name])</f>
        <v>Marlene Daniell</v>
      </c>
    </row>
    <row r="1450" spans="1:10" x14ac:dyDescent="0.35">
      <c r="A1450" s="4">
        <v>40708</v>
      </c>
      <c r="B1450" s="2">
        <v>10537</v>
      </c>
      <c r="C1450" s="2">
        <v>325</v>
      </c>
      <c r="D1450" s="2">
        <v>90</v>
      </c>
      <c r="F1450" s="2">
        <v>2</v>
      </c>
      <c r="G1450" s="2">
        <v>1</v>
      </c>
      <c r="H1450" s="2">
        <v>66</v>
      </c>
      <c r="I1450" s="2">
        <v>0</v>
      </c>
      <c r="J1450" t="str">
        <f>_xlfn.XLOOKUP(Table2[[#This Row],[Customer_ID]],Table1[Customer_ID],Table1[Customer_Name])</f>
        <v>Maxwell Wengert</v>
      </c>
    </row>
    <row r="1451" spans="1:10" x14ac:dyDescent="0.35">
      <c r="A1451" s="4">
        <v>40708</v>
      </c>
      <c r="B1451" s="2">
        <v>10537</v>
      </c>
      <c r="C1451" s="2">
        <v>403</v>
      </c>
      <c r="D1451" s="2">
        <v>90</v>
      </c>
      <c r="F1451" s="2">
        <v>2</v>
      </c>
      <c r="G1451" s="2">
        <v>1</v>
      </c>
      <c r="H1451" s="2">
        <v>18</v>
      </c>
      <c r="I1451" s="2">
        <v>0</v>
      </c>
      <c r="J1451" t="str">
        <f>_xlfn.XLOOKUP(Table2[[#This Row],[Customer_ID]],Table1[Customer_ID],Table1[Customer_Name])</f>
        <v>Maxwell Wengert</v>
      </c>
    </row>
    <row r="1452" spans="1:10" x14ac:dyDescent="0.35">
      <c r="A1452" s="4">
        <v>40708</v>
      </c>
      <c r="B1452" s="2">
        <v>10537</v>
      </c>
      <c r="C1452" s="2">
        <v>319</v>
      </c>
      <c r="D1452" s="2">
        <v>90</v>
      </c>
      <c r="F1452" s="2">
        <v>2</v>
      </c>
      <c r="G1452" s="2">
        <v>1</v>
      </c>
      <c r="H1452" s="2">
        <v>4</v>
      </c>
      <c r="I1452" s="2">
        <v>0</v>
      </c>
      <c r="J1452" t="str">
        <f>_xlfn.XLOOKUP(Table2[[#This Row],[Customer_ID]],Table1[Customer_ID],Table1[Customer_Name])</f>
        <v>Maxwell Wengert</v>
      </c>
    </row>
    <row r="1453" spans="1:10" x14ac:dyDescent="0.35">
      <c r="A1453" s="4">
        <v>40708</v>
      </c>
      <c r="B1453" s="2">
        <v>10537</v>
      </c>
      <c r="C1453" s="2">
        <v>287</v>
      </c>
      <c r="D1453" s="2">
        <v>90</v>
      </c>
      <c r="F1453" s="2">
        <v>2</v>
      </c>
      <c r="G1453" s="2">
        <v>5</v>
      </c>
      <c r="H1453" s="2">
        <v>3</v>
      </c>
      <c r="I1453" s="2">
        <v>0</v>
      </c>
      <c r="J1453" t="str">
        <f>_xlfn.XLOOKUP(Table2[[#This Row],[Customer_ID]],Table1[Customer_ID],Table1[Customer_Name])</f>
        <v>Maxwell Wengert</v>
      </c>
    </row>
    <row r="1454" spans="1:10" x14ac:dyDescent="0.35">
      <c r="A1454" s="4">
        <v>40708</v>
      </c>
      <c r="B1454" s="2">
        <v>10537</v>
      </c>
      <c r="C1454" s="2">
        <v>360</v>
      </c>
      <c r="D1454" s="2">
        <v>90</v>
      </c>
      <c r="F1454" s="2">
        <v>2</v>
      </c>
      <c r="G1454" s="2">
        <v>5</v>
      </c>
      <c r="H1454" s="2">
        <v>45</v>
      </c>
      <c r="I1454" s="2">
        <v>0</v>
      </c>
      <c r="J1454" t="str">
        <f>_xlfn.XLOOKUP(Table2[[#This Row],[Customer_ID]],Table1[Customer_ID],Table1[Customer_Name])</f>
        <v>Maxwell Wengert</v>
      </c>
    </row>
    <row r="1455" spans="1:10" x14ac:dyDescent="0.35">
      <c r="A1455" s="4">
        <v>40710</v>
      </c>
      <c r="B1455" s="2">
        <v>10539</v>
      </c>
      <c r="C1455" s="2">
        <v>238</v>
      </c>
      <c r="D1455" s="2">
        <v>92</v>
      </c>
      <c r="F1455" s="2">
        <v>2</v>
      </c>
      <c r="G1455" s="2">
        <v>1</v>
      </c>
      <c r="H1455" s="2">
        <v>24</v>
      </c>
      <c r="I1455" s="2">
        <v>0</v>
      </c>
      <c r="J1455" t="str">
        <f>_xlfn.XLOOKUP(Table2[[#This Row],[Customer_ID]],Table1[Customer_ID],Table1[Customer_Name])</f>
        <v>Mercedes Godin</v>
      </c>
    </row>
    <row r="1456" spans="1:10" x14ac:dyDescent="0.35">
      <c r="A1456" s="4">
        <v>40710</v>
      </c>
      <c r="B1456" s="2">
        <v>10539</v>
      </c>
      <c r="C1456" s="2">
        <v>450</v>
      </c>
      <c r="D1456" s="2">
        <v>92</v>
      </c>
      <c r="F1456" s="2">
        <v>2</v>
      </c>
      <c r="G1456" s="2">
        <v>5</v>
      </c>
      <c r="H1456" s="2">
        <v>11</v>
      </c>
      <c r="I1456" s="2">
        <v>0</v>
      </c>
      <c r="J1456" t="str">
        <f>_xlfn.XLOOKUP(Table2[[#This Row],[Customer_ID]],Table1[Customer_ID],Table1[Customer_Name])</f>
        <v>Mercedes Godin</v>
      </c>
    </row>
    <row r="1457" spans="1:10" x14ac:dyDescent="0.35">
      <c r="A1457" s="4">
        <v>40710</v>
      </c>
      <c r="B1457" s="2">
        <v>10539</v>
      </c>
      <c r="C1457" s="2">
        <v>418</v>
      </c>
      <c r="D1457" s="2">
        <v>92</v>
      </c>
      <c r="F1457" s="2">
        <v>2</v>
      </c>
      <c r="G1457" s="2">
        <v>1</v>
      </c>
      <c r="H1457" s="2">
        <v>20</v>
      </c>
      <c r="I1457" s="2">
        <v>0</v>
      </c>
      <c r="J1457" t="str">
        <f>_xlfn.XLOOKUP(Table2[[#This Row],[Customer_ID]],Table1[Customer_ID],Table1[Customer_Name])</f>
        <v>Mercedes Godin</v>
      </c>
    </row>
    <row r="1458" spans="1:10" x14ac:dyDescent="0.35">
      <c r="A1458" s="4">
        <v>40710</v>
      </c>
      <c r="B1458" s="2">
        <v>10539</v>
      </c>
      <c r="C1458" s="2">
        <v>35</v>
      </c>
      <c r="D1458" s="2">
        <v>92</v>
      </c>
      <c r="F1458" s="2">
        <v>2</v>
      </c>
      <c r="G1458" s="2">
        <v>5</v>
      </c>
      <c r="H1458" s="2">
        <v>17</v>
      </c>
      <c r="I1458" s="2">
        <v>0</v>
      </c>
      <c r="J1458" t="str">
        <f>_xlfn.XLOOKUP(Table2[[#This Row],[Customer_ID]],Table1[Customer_ID],Table1[Customer_Name])</f>
        <v>Mercedes Godin</v>
      </c>
    </row>
    <row r="1459" spans="1:10" x14ac:dyDescent="0.35">
      <c r="A1459" s="4">
        <v>40713</v>
      </c>
      <c r="B1459" s="2">
        <v>10541</v>
      </c>
      <c r="C1459" s="2">
        <v>3</v>
      </c>
      <c r="D1459" s="2">
        <v>94</v>
      </c>
      <c r="F1459" s="2">
        <v>2</v>
      </c>
      <c r="G1459" s="2">
        <v>1</v>
      </c>
      <c r="H1459" s="2">
        <v>532</v>
      </c>
      <c r="I1459" s="2">
        <v>0</v>
      </c>
      <c r="J1459" t="str">
        <f>_xlfn.XLOOKUP(Table2[[#This Row],[Customer_ID]],Table1[Customer_ID],Table1[Customer_Name])</f>
        <v>Michelina Manners</v>
      </c>
    </row>
    <row r="1460" spans="1:10" x14ac:dyDescent="0.35">
      <c r="A1460" s="4">
        <v>40713</v>
      </c>
      <c r="B1460" s="2">
        <v>10541</v>
      </c>
      <c r="C1460" s="2">
        <v>11</v>
      </c>
      <c r="D1460" s="2">
        <v>94</v>
      </c>
      <c r="F1460" s="2">
        <v>2</v>
      </c>
      <c r="G1460" s="2">
        <v>1</v>
      </c>
      <c r="H1460" s="2">
        <v>208</v>
      </c>
      <c r="I1460" s="2">
        <v>0</v>
      </c>
      <c r="J1460" t="str">
        <f>_xlfn.XLOOKUP(Table2[[#This Row],[Customer_ID]],Table1[Customer_ID],Table1[Customer_Name])</f>
        <v>Michelina Manners</v>
      </c>
    </row>
    <row r="1461" spans="1:10" x14ac:dyDescent="0.35">
      <c r="A1461" s="4">
        <v>40713</v>
      </c>
      <c r="B1461" s="2">
        <v>10541</v>
      </c>
      <c r="C1461" s="2">
        <v>4</v>
      </c>
      <c r="D1461" s="2">
        <v>94</v>
      </c>
      <c r="F1461" s="2">
        <v>2</v>
      </c>
      <c r="G1461" s="2">
        <v>5</v>
      </c>
      <c r="H1461" s="2">
        <v>506</v>
      </c>
      <c r="I1461" s="2">
        <v>0</v>
      </c>
      <c r="J1461" t="str">
        <f>_xlfn.XLOOKUP(Table2[[#This Row],[Customer_ID]],Table1[Customer_ID],Table1[Customer_Name])</f>
        <v>Michelina Manners</v>
      </c>
    </row>
    <row r="1462" spans="1:10" x14ac:dyDescent="0.35">
      <c r="A1462" s="4">
        <v>40713</v>
      </c>
      <c r="B1462" s="2">
        <v>10541</v>
      </c>
      <c r="C1462" s="2">
        <v>9</v>
      </c>
      <c r="D1462" s="2">
        <v>94</v>
      </c>
      <c r="F1462" s="2">
        <v>2</v>
      </c>
      <c r="G1462" s="2">
        <v>1</v>
      </c>
      <c r="H1462" s="2">
        <v>336</v>
      </c>
      <c r="I1462" s="2">
        <v>0</v>
      </c>
      <c r="J1462" t="str">
        <f>_xlfn.XLOOKUP(Table2[[#This Row],[Customer_ID]],Table1[Customer_ID],Table1[Customer_Name])</f>
        <v>Michelina Manners</v>
      </c>
    </row>
    <row r="1463" spans="1:10" x14ac:dyDescent="0.35">
      <c r="A1463" s="4">
        <v>40715</v>
      </c>
      <c r="B1463" s="2">
        <v>10543</v>
      </c>
      <c r="C1463" s="2">
        <v>2</v>
      </c>
      <c r="D1463" s="2">
        <v>96</v>
      </c>
      <c r="F1463" s="2">
        <v>2</v>
      </c>
      <c r="G1463" s="2">
        <v>2</v>
      </c>
      <c r="H1463" s="2">
        <v>634</v>
      </c>
      <c r="I1463" s="2">
        <v>0</v>
      </c>
      <c r="J1463" t="str">
        <f>_xlfn.XLOOKUP(Table2[[#This Row],[Customer_ID]],Table1[Customer_ID],Table1[Customer_Name])</f>
        <v>Miss Henslee</v>
      </c>
    </row>
    <row r="1464" spans="1:10" x14ac:dyDescent="0.35">
      <c r="A1464" s="4">
        <v>40715</v>
      </c>
      <c r="B1464" s="2">
        <v>10543</v>
      </c>
      <c r="C1464" s="2">
        <v>182</v>
      </c>
      <c r="D1464" s="2">
        <v>96</v>
      </c>
      <c r="F1464" s="2">
        <v>2</v>
      </c>
      <c r="G1464" s="2">
        <v>6</v>
      </c>
      <c r="H1464" s="2">
        <v>598</v>
      </c>
      <c r="I1464" s="2">
        <v>0</v>
      </c>
      <c r="J1464" t="str">
        <f>_xlfn.XLOOKUP(Table2[[#This Row],[Customer_ID]],Table1[Customer_ID],Table1[Customer_Name])</f>
        <v>Miss Henslee</v>
      </c>
    </row>
    <row r="1465" spans="1:10" x14ac:dyDescent="0.35">
      <c r="A1465" s="4">
        <v>40716</v>
      </c>
      <c r="B1465" s="2">
        <v>10545</v>
      </c>
      <c r="C1465" s="2">
        <v>5</v>
      </c>
      <c r="D1465" s="2">
        <v>98</v>
      </c>
      <c r="F1465" s="2">
        <v>2</v>
      </c>
      <c r="G1465" s="2">
        <v>3</v>
      </c>
      <c r="H1465" s="2">
        <v>497</v>
      </c>
      <c r="I1465" s="2">
        <v>0</v>
      </c>
      <c r="J1465" t="str">
        <f>_xlfn.XLOOKUP(Table2[[#This Row],[Customer_ID]],Table1[Customer_ID],Table1[Customer_Name])</f>
        <v>Myesha Mumm</v>
      </c>
    </row>
    <row r="1466" spans="1:10" x14ac:dyDescent="0.35">
      <c r="A1466" s="4">
        <v>40717</v>
      </c>
      <c r="B1466" s="2">
        <v>10547</v>
      </c>
      <c r="C1466" s="2">
        <v>179</v>
      </c>
      <c r="D1466" s="2">
        <v>100</v>
      </c>
      <c r="E1466" s="2">
        <v>18</v>
      </c>
      <c r="F1466" s="2">
        <v>2</v>
      </c>
      <c r="G1466" s="2">
        <v>2</v>
      </c>
      <c r="H1466" s="2">
        <v>425</v>
      </c>
      <c r="I1466" s="2">
        <v>0</v>
      </c>
      <c r="J1466" t="str">
        <f>_xlfn.XLOOKUP(Table2[[#This Row],[Customer_ID]],Table1[Customer_ID],Table1[Customer_Name])</f>
        <v>Natividad Grandberry</v>
      </c>
    </row>
    <row r="1467" spans="1:10" x14ac:dyDescent="0.35">
      <c r="A1467" s="4">
        <v>40717</v>
      </c>
      <c r="B1467" s="2">
        <v>10547</v>
      </c>
      <c r="C1467" s="2">
        <v>183</v>
      </c>
      <c r="D1467" s="2">
        <v>100</v>
      </c>
      <c r="E1467" s="2">
        <v>18</v>
      </c>
      <c r="F1467" s="2">
        <v>2</v>
      </c>
      <c r="G1467" s="2">
        <v>6</v>
      </c>
      <c r="H1467" s="2">
        <v>370</v>
      </c>
      <c r="I1467" s="2">
        <v>0</v>
      </c>
      <c r="J1467" t="str">
        <f>_xlfn.XLOOKUP(Table2[[#This Row],[Customer_ID]],Table1[Customer_ID],Table1[Customer_Name])</f>
        <v>Natividad Grandberry</v>
      </c>
    </row>
    <row r="1468" spans="1:10" x14ac:dyDescent="0.35">
      <c r="A1468" s="4">
        <v>40721</v>
      </c>
      <c r="B1468" s="2">
        <v>10549</v>
      </c>
      <c r="C1468" s="2">
        <v>72</v>
      </c>
      <c r="D1468" s="2">
        <v>2</v>
      </c>
      <c r="E1468" s="2">
        <v>20</v>
      </c>
      <c r="F1468" s="2">
        <v>2</v>
      </c>
      <c r="G1468" s="2">
        <v>7</v>
      </c>
      <c r="H1468" s="2">
        <v>6</v>
      </c>
      <c r="I1468" s="2">
        <v>0</v>
      </c>
      <c r="J1468" t="str">
        <f>_xlfn.XLOOKUP(Table2[[#This Row],[Customer_ID]],Table1[Customer_ID],Table1[Customer_Name])</f>
        <v>Alaine Kindig</v>
      </c>
    </row>
    <row r="1469" spans="1:10" x14ac:dyDescent="0.35">
      <c r="A1469" s="4">
        <v>40721</v>
      </c>
      <c r="B1469" s="2">
        <v>10549</v>
      </c>
      <c r="C1469" s="2">
        <v>120</v>
      </c>
      <c r="D1469" s="2">
        <v>2</v>
      </c>
      <c r="E1469" s="2">
        <v>20</v>
      </c>
      <c r="F1469" s="2">
        <v>2</v>
      </c>
      <c r="G1469" s="2">
        <v>6</v>
      </c>
      <c r="H1469" s="2">
        <v>372</v>
      </c>
      <c r="I1469" s="2">
        <v>0</v>
      </c>
      <c r="J1469" t="str">
        <f>_xlfn.XLOOKUP(Table2[[#This Row],[Customer_ID]],Table1[Customer_ID],Table1[Customer_Name])</f>
        <v>Alaine Kindig</v>
      </c>
    </row>
    <row r="1470" spans="1:10" x14ac:dyDescent="0.35">
      <c r="A1470" s="4">
        <v>40721</v>
      </c>
      <c r="B1470" s="2">
        <v>10549</v>
      </c>
      <c r="C1470" s="2">
        <v>77</v>
      </c>
      <c r="D1470" s="2">
        <v>2</v>
      </c>
      <c r="E1470" s="2">
        <v>20</v>
      </c>
      <c r="F1470" s="2">
        <v>2</v>
      </c>
      <c r="G1470" s="2">
        <v>1</v>
      </c>
      <c r="H1470" s="2">
        <v>13</v>
      </c>
      <c r="I1470" s="2">
        <v>0</v>
      </c>
      <c r="J1470" t="str">
        <f>_xlfn.XLOOKUP(Table2[[#This Row],[Customer_ID]],Table1[Customer_ID],Table1[Customer_Name])</f>
        <v>Alaine Kindig</v>
      </c>
    </row>
    <row r="1471" spans="1:10" x14ac:dyDescent="0.35">
      <c r="A1471" s="4">
        <v>40722</v>
      </c>
      <c r="B1471" s="2">
        <v>10551</v>
      </c>
      <c r="C1471" s="2">
        <v>85</v>
      </c>
      <c r="D1471" s="2">
        <v>4</v>
      </c>
      <c r="E1471" s="2">
        <v>66</v>
      </c>
      <c r="F1471" s="2">
        <v>2</v>
      </c>
      <c r="G1471" s="2">
        <v>1</v>
      </c>
      <c r="H1471" s="2">
        <v>4</v>
      </c>
      <c r="I1471" s="2">
        <v>0</v>
      </c>
      <c r="J1471" t="str">
        <f>_xlfn.XLOOKUP(Table2[[#This Row],[Customer_ID]],Table1[Customer_ID],Table1[Customer_Name])</f>
        <v>Andreas Armour</v>
      </c>
    </row>
    <row r="1472" spans="1:10" x14ac:dyDescent="0.35">
      <c r="A1472" s="4">
        <v>40722</v>
      </c>
      <c r="B1472" s="2">
        <v>10551</v>
      </c>
      <c r="C1472" s="2">
        <v>10</v>
      </c>
      <c r="D1472" s="2">
        <v>4</v>
      </c>
      <c r="E1472" s="2">
        <v>66</v>
      </c>
      <c r="F1472" s="2">
        <v>2</v>
      </c>
      <c r="G1472" s="2">
        <v>6</v>
      </c>
      <c r="H1472" s="2">
        <v>236</v>
      </c>
      <c r="I1472" s="2">
        <v>0</v>
      </c>
      <c r="J1472" t="str">
        <f>_xlfn.XLOOKUP(Table2[[#This Row],[Customer_ID]],Table1[Customer_ID],Table1[Customer_Name])</f>
        <v>Andreas Armour</v>
      </c>
    </row>
    <row r="1473" spans="1:10" x14ac:dyDescent="0.35">
      <c r="A1473" s="4">
        <v>40722</v>
      </c>
      <c r="B1473" s="2">
        <v>10551</v>
      </c>
      <c r="C1473" s="2">
        <v>123</v>
      </c>
      <c r="D1473" s="2">
        <v>4</v>
      </c>
      <c r="E1473" s="2">
        <v>66</v>
      </c>
      <c r="F1473" s="2">
        <v>2</v>
      </c>
      <c r="G1473" s="2">
        <v>6</v>
      </c>
      <c r="H1473" s="2">
        <v>1043</v>
      </c>
      <c r="I1473" s="2">
        <v>0</v>
      </c>
      <c r="J1473" t="str">
        <f>_xlfn.XLOOKUP(Table2[[#This Row],[Customer_ID]],Table1[Customer_ID],Table1[Customer_Name])</f>
        <v>Andreas Armour</v>
      </c>
    </row>
    <row r="1474" spans="1:10" x14ac:dyDescent="0.35">
      <c r="A1474" s="4">
        <v>40724</v>
      </c>
      <c r="B1474" s="2">
        <v>10553</v>
      </c>
      <c r="C1474" s="2">
        <v>73</v>
      </c>
      <c r="D1474" s="2">
        <v>6</v>
      </c>
      <c r="E1474" s="2">
        <v>53</v>
      </c>
      <c r="F1474" s="2">
        <v>2</v>
      </c>
      <c r="G1474" s="2">
        <v>3</v>
      </c>
      <c r="H1474" s="2">
        <v>5</v>
      </c>
      <c r="I1474" s="2">
        <v>0</v>
      </c>
      <c r="J1474" t="str">
        <f>_xlfn.XLOOKUP(Table2[[#This Row],[Customer_ID]],Table1[Customer_ID],Table1[Customer_Name])</f>
        <v>Anjelica Usrey</v>
      </c>
    </row>
    <row r="1475" spans="1:10" x14ac:dyDescent="0.35">
      <c r="A1475" s="4">
        <v>40724</v>
      </c>
      <c r="B1475" s="2">
        <v>10553</v>
      </c>
      <c r="C1475" s="2">
        <v>70</v>
      </c>
      <c r="D1475" s="2">
        <v>6</v>
      </c>
      <c r="E1475" s="2">
        <v>53</v>
      </c>
      <c r="F1475" s="2">
        <v>2</v>
      </c>
      <c r="G1475" s="2">
        <v>3</v>
      </c>
      <c r="H1475" s="2">
        <v>6</v>
      </c>
      <c r="I1475" s="2">
        <v>0</v>
      </c>
      <c r="J1475" t="str">
        <f>_xlfn.XLOOKUP(Table2[[#This Row],[Customer_ID]],Table1[Customer_ID],Table1[Customer_Name])</f>
        <v>Anjelica Usrey</v>
      </c>
    </row>
    <row r="1476" spans="1:10" x14ac:dyDescent="0.35">
      <c r="A1476" s="4">
        <v>40724</v>
      </c>
      <c r="B1476" s="2">
        <v>10553</v>
      </c>
      <c r="C1476" s="2">
        <v>82</v>
      </c>
      <c r="D1476" s="2">
        <v>6</v>
      </c>
      <c r="E1476" s="2">
        <v>53</v>
      </c>
      <c r="F1476" s="2">
        <v>2</v>
      </c>
      <c r="G1476" s="2">
        <v>6</v>
      </c>
      <c r="H1476" s="2">
        <v>29</v>
      </c>
      <c r="I1476" s="2">
        <v>0</v>
      </c>
      <c r="J1476" t="str">
        <f>_xlfn.XLOOKUP(Table2[[#This Row],[Customer_ID]],Table1[Customer_ID],Table1[Customer_Name])</f>
        <v>Anjelica Usrey</v>
      </c>
    </row>
    <row r="1477" spans="1:10" x14ac:dyDescent="0.35">
      <c r="A1477" s="4">
        <v>40724</v>
      </c>
      <c r="B1477" s="2">
        <v>10553</v>
      </c>
      <c r="C1477" s="2">
        <v>81</v>
      </c>
      <c r="D1477" s="2">
        <v>6</v>
      </c>
      <c r="E1477" s="2">
        <v>53</v>
      </c>
      <c r="F1477" s="2">
        <v>2</v>
      </c>
      <c r="G1477" s="2">
        <v>3</v>
      </c>
      <c r="H1477" s="2">
        <v>8</v>
      </c>
      <c r="I1477" s="2">
        <v>0</v>
      </c>
      <c r="J1477" t="str">
        <f>_xlfn.XLOOKUP(Table2[[#This Row],[Customer_ID]],Table1[Customer_ID],Table1[Customer_Name])</f>
        <v>Anjelica Usrey</v>
      </c>
    </row>
    <row r="1478" spans="1:10" x14ac:dyDescent="0.35">
      <c r="A1478" s="4">
        <v>40724</v>
      </c>
      <c r="B1478" s="2">
        <v>10553</v>
      </c>
      <c r="C1478" s="2">
        <v>76</v>
      </c>
      <c r="D1478" s="2">
        <v>6</v>
      </c>
      <c r="E1478" s="2">
        <v>53</v>
      </c>
      <c r="F1478" s="2">
        <v>2</v>
      </c>
      <c r="G1478" s="2">
        <v>2</v>
      </c>
      <c r="H1478" s="2">
        <v>15</v>
      </c>
      <c r="I1478" s="2">
        <v>0</v>
      </c>
      <c r="J1478" t="str">
        <f>_xlfn.XLOOKUP(Table2[[#This Row],[Customer_ID]],Table1[Customer_ID],Table1[Customer_Name])</f>
        <v>Anjelica Usrey</v>
      </c>
    </row>
    <row r="1479" spans="1:10" x14ac:dyDescent="0.35">
      <c r="A1479" s="4">
        <v>40727</v>
      </c>
      <c r="B1479" s="2">
        <v>10555</v>
      </c>
      <c r="C1479" s="2">
        <v>396</v>
      </c>
      <c r="D1479" s="2">
        <v>8</v>
      </c>
      <c r="E1479" s="2">
        <v>60</v>
      </c>
      <c r="F1479" s="2">
        <v>2</v>
      </c>
      <c r="G1479" s="2">
        <v>5</v>
      </c>
      <c r="H1479" s="2">
        <v>15</v>
      </c>
      <c r="I1479" s="2">
        <v>0</v>
      </c>
      <c r="J1479" t="str">
        <f>_xlfn.XLOOKUP(Table2[[#This Row],[Customer_ID]],Table1[Customer_ID],Table1[Customer_Name])</f>
        <v>Ashley Ables</v>
      </c>
    </row>
    <row r="1480" spans="1:10" x14ac:dyDescent="0.35">
      <c r="A1480" s="4">
        <v>40727</v>
      </c>
      <c r="B1480" s="2">
        <v>10555</v>
      </c>
      <c r="C1480" s="2">
        <v>388</v>
      </c>
      <c r="D1480" s="2">
        <v>8</v>
      </c>
      <c r="E1480" s="2">
        <v>60</v>
      </c>
      <c r="F1480" s="2">
        <v>2</v>
      </c>
      <c r="G1480" s="2">
        <v>2</v>
      </c>
      <c r="H1480" s="2">
        <v>15</v>
      </c>
      <c r="I1480" s="2">
        <v>0</v>
      </c>
      <c r="J1480" t="str">
        <f>_xlfn.XLOOKUP(Table2[[#This Row],[Customer_ID]],Table1[Customer_ID],Table1[Customer_Name])</f>
        <v>Ashley Ables</v>
      </c>
    </row>
    <row r="1481" spans="1:10" x14ac:dyDescent="0.35">
      <c r="A1481" s="4">
        <v>40727</v>
      </c>
      <c r="B1481" s="2">
        <v>10555</v>
      </c>
      <c r="C1481" s="2">
        <v>386</v>
      </c>
      <c r="D1481" s="2">
        <v>8</v>
      </c>
      <c r="E1481" s="2">
        <v>60</v>
      </c>
      <c r="F1481" s="2">
        <v>2</v>
      </c>
      <c r="G1481" s="2">
        <v>1</v>
      </c>
      <c r="H1481" s="2">
        <v>15</v>
      </c>
      <c r="I1481" s="2">
        <v>0</v>
      </c>
      <c r="J1481" t="str">
        <f>_xlfn.XLOOKUP(Table2[[#This Row],[Customer_ID]],Table1[Customer_ID],Table1[Customer_Name])</f>
        <v>Ashley Ables</v>
      </c>
    </row>
    <row r="1482" spans="1:10" x14ac:dyDescent="0.35">
      <c r="A1482" s="4">
        <v>40727</v>
      </c>
      <c r="B1482" s="2">
        <v>10555</v>
      </c>
      <c r="C1482" s="2">
        <v>320</v>
      </c>
      <c r="D1482" s="2">
        <v>8</v>
      </c>
      <c r="E1482" s="2">
        <v>60</v>
      </c>
      <c r="F1482" s="2">
        <v>2</v>
      </c>
      <c r="G1482" s="2">
        <v>2</v>
      </c>
      <c r="H1482" s="2">
        <v>2</v>
      </c>
      <c r="I1482" s="2">
        <v>0</v>
      </c>
      <c r="J1482" t="str">
        <f>_xlfn.XLOOKUP(Table2[[#This Row],[Customer_ID]],Table1[Customer_ID],Table1[Customer_Name])</f>
        <v>Ashley Ables</v>
      </c>
    </row>
    <row r="1483" spans="1:10" x14ac:dyDescent="0.35">
      <c r="A1483" s="4">
        <v>40727</v>
      </c>
      <c r="B1483" s="2">
        <v>10555</v>
      </c>
      <c r="C1483" s="2">
        <v>417</v>
      </c>
      <c r="D1483" s="2">
        <v>8</v>
      </c>
      <c r="E1483" s="2">
        <v>60</v>
      </c>
      <c r="F1483" s="2">
        <v>2</v>
      </c>
      <c r="G1483" s="2">
        <v>6</v>
      </c>
      <c r="H1483" s="2">
        <v>20</v>
      </c>
      <c r="I1483" s="2">
        <v>0</v>
      </c>
      <c r="J1483" t="str">
        <f>_xlfn.XLOOKUP(Table2[[#This Row],[Customer_ID]],Table1[Customer_ID],Table1[Customer_Name])</f>
        <v>Ashley Ables</v>
      </c>
    </row>
    <row r="1484" spans="1:10" x14ac:dyDescent="0.35">
      <c r="A1484" s="4">
        <v>40728</v>
      </c>
      <c r="B1484" s="2">
        <v>10557</v>
      </c>
      <c r="C1484" s="2">
        <v>415</v>
      </c>
      <c r="D1484" s="2">
        <v>10</v>
      </c>
      <c r="E1484" s="2">
        <v>20</v>
      </c>
      <c r="F1484" s="2">
        <v>2</v>
      </c>
      <c r="G1484" s="2">
        <v>1</v>
      </c>
      <c r="H1484" s="2">
        <v>20</v>
      </c>
      <c r="I1484" s="2">
        <v>0</v>
      </c>
      <c r="J1484" t="str">
        <f>_xlfn.XLOOKUP(Table2[[#This Row],[Customer_ID]],Table1[Customer_ID],Table1[Customer_Name])</f>
        <v>Berniece Blakely</v>
      </c>
    </row>
    <row r="1485" spans="1:10" x14ac:dyDescent="0.35">
      <c r="A1485" s="4">
        <v>40728</v>
      </c>
      <c r="B1485" s="2">
        <v>10557</v>
      </c>
      <c r="C1485" s="2">
        <v>404</v>
      </c>
      <c r="D1485" s="2">
        <v>10</v>
      </c>
      <c r="E1485" s="2">
        <v>20</v>
      </c>
      <c r="F1485" s="2">
        <v>2</v>
      </c>
      <c r="G1485" s="2">
        <v>6</v>
      </c>
      <c r="H1485" s="2">
        <v>20</v>
      </c>
      <c r="I1485" s="2">
        <v>0</v>
      </c>
      <c r="J1485" t="str">
        <f>_xlfn.XLOOKUP(Table2[[#This Row],[Customer_ID]],Table1[Customer_ID],Table1[Customer_Name])</f>
        <v>Berniece Blakely</v>
      </c>
    </row>
    <row r="1486" spans="1:10" x14ac:dyDescent="0.35">
      <c r="A1486" s="4">
        <v>40730</v>
      </c>
      <c r="B1486" s="2">
        <v>10559</v>
      </c>
      <c r="C1486" s="2">
        <v>156</v>
      </c>
      <c r="D1486" s="2">
        <v>12</v>
      </c>
      <c r="E1486" s="2">
        <v>63</v>
      </c>
      <c r="F1486" s="2">
        <v>2</v>
      </c>
      <c r="G1486" s="2">
        <v>5</v>
      </c>
      <c r="H1486" s="2">
        <v>726</v>
      </c>
      <c r="I1486" s="2">
        <v>0</v>
      </c>
      <c r="J1486" t="str">
        <f>_xlfn.XLOOKUP(Table2[[#This Row],[Customer_ID]],Table1[Customer_ID],Table1[Customer_Name])</f>
        <v>Brittney Edmond</v>
      </c>
    </row>
    <row r="1487" spans="1:10" x14ac:dyDescent="0.35">
      <c r="A1487" s="4">
        <v>40730</v>
      </c>
      <c r="B1487" s="2">
        <v>10559</v>
      </c>
      <c r="C1487" s="2">
        <v>322</v>
      </c>
      <c r="D1487" s="2">
        <v>12</v>
      </c>
      <c r="E1487" s="2">
        <v>63</v>
      </c>
      <c r="F1487" s="2">
        <v>2</v>
      </c>
      <c r="G1487" s="2">
        <v>3</v>
      </c>
      <c r="H1487" s="2">
        <v>2</v>
      </c>
      <c r="I1487" s="2">
        <v>0</v>
      </c>
      <c r="J1487" t="str">
        <f>_xlfn.XLOOKUP(Table2[[#This Row],[Customer_ID]],Table1[Customer_ID],Table1[Customer_Name])</f>
        <v>Brittney Edmond</v>
      </c>
    </row>
    <row r="1488" spans="1:10" x14ac:dyDescent="0.35">
      <c r="A1488" s="4">
        <v>40731</v>
      </c>
      <c r="B1488" s="2">
        <v>10561</v>
      </c>
      <c r="C1488" s="2">
        <v>56</v>
      </c>
      <c r="D1488" s="2">
        <v>14</v>
      </c>
      <c r="E1488" s="2">
        <v>34</v>
      </c>
      <c r="F1488" s="2">
        <v>2</v>
      </c>
      <c r="G1488" s="2">
        <v>2</v>
      </c>
      <c r="H1488" s="2">
        <v>19</v>
      </c>
      <c r="I1488" s="2">
        <v>0</v>
      </c>
      <c r="J1488" t="str">
        <f>_xlfn.XLOOKUP(Table2[[#This Row],[Customer_ID]],Table1[Customer_ID],Table1[Customer_Name])</f>
        <v>Cari Craw</v>
      </c>
    </row>
    <row r="1489" spans="1:10" x14ac:dyDescent="0.35">
      <c r="A1489" s="4">
        <v>40731</v>
      </c>
      <c r="B1489" s="2">
        <v>10561</v>
      </c>
      <c r="C1489" s="2">
        <v>65</v>
      </c>
      <c r="D1489" s="2">
        <v>14</v>
      </c>
      <c r="E1489" s="2">
        <v>34</v>
      </c>
      <c r="F1489" s="2">
        <v>2</v>
      </c>
      <c r="G1489" s="2">
        <v>7</v>
      </c>
      <c r="H1489" s="2">
        <v>20</v>
      </c>
      <c r="I1489" s="2">
        <v>0</v>
      </c>
      <c r="J1489" t="str">
        <f>_xlfn.XLOOKUP(Table2[[#This Row],[Customer_ID]],Table1[Customer_ID],Table1[Customer_Name])</f>
        <v>Cari Craw</v>
      </c>
    </row>
    <row r="1490" spans="1:10" x14ac:dyDescent="0.35">
      <c r="A1490" s="4">
        <v>40735</v>
      </c>
      <c r="B1490" s="2">
        <v>10563</v>
      </c>
      <c r="C1490" s="2">
        <v>144</v>
      </c>
      <c r="D1490" s="2">
        <v>16</v>
      </c>
      <c r="E1490" s="2">
        <v>37</v>
      </c>
      <c r="F1490" s="2">
        <v>2</v>
      </c>
      <c r="G1490" s="2">
        <v>3</v>
      </c>
      <c r="H1490" s="2">
        <v>81</v>
      </c>
      <c r="I1490" s="2">
        <v>0</v>
      </c>
      <c r="J1490" t="str">
        <f>_xlfn.XLOOKUP(Table2[[#This Row],[Customer_ID]],Table1[Customer_ID],Table1[Customer_Name])</f>
        <v>Casandra Flewelling</v>
      </c>
    </row>
    <row r="1491" spans="1:10" x14ac:dyDescent="0.35">
      <c r="A1491" s="4">
        <v>40735</v>
      </c>
      <c r="B1491" s="2">
        <v>10563</v>
      </c>
      <c r="C1491" s="2">
        <v>133</v>
      </c>
      <c r="D1491" s="2">
        <v>16</v>
      </c>
      <c r="E1491" s="2">
        <v>37</v>
      </c>
      <c r="F1491" s="2">
        <v>2</v>
      </c>
      <c r="G1491" s="2">
        <v>2</v>
      </c>
      <c r="H1491" s="2">
        <v>95</v>
      </c>
      <c r="I1491" s="2">
        <v>0</v>
      </c>
      <c r="J1491" t="str">
        <f>_xlfn.XLOOKUP(Table2[[#This Row],[Customer_ID]],Table1[Customer_ID],Table1[Customer_Name])</f>
        <v>Casandra Flewelling</v>
      </c>
    </row>
    <row r="1492" spans="1:10" x14ac:dyDescent="0.35">
      <c r="A1492" s="4">
        <v>40736</v>
      </c>
      <c r="B1492" s="2">
        <v>10565</v>
      </c>
      <c r="C1492" s="2">
        <v>141</v>
      </c>
      <c r="D1492" s="2">
        <v>18</v>
      </c>
      <c r="E1492" s="2">
        <v>41</v>
      </c>
      <c r="F1492" s="2">
        <v>2</v>
      </c>
      <c r="G1492" s="2">
        <v>2</v>
      </c>
      <c r="H1492" s="2">
        <v>180</v>
      </c>
      <c r="I1492" s="2">
        <v>0</v>
      </c>
      <c r="J1492" t="str">
        <f>_xlfn.XLOOKUP(Table2[[#This Row],[Customer_ID]],Table1[Customer_ID],Table1[Customer_Name])</f>
        <v>Cecilia Crossman</v>
      </c>
    </row>
    <row r="1493" spans="1:10" x14ac:dyDescent="0.35">
      <c r="A1493" s="4">
        <v>40736</v>
      </c>
      <c r="B1493" s="2">
        <v>10565</v>
      </c>
      <c r="C1493" s="2">
        <v>169</v>
      </c>
      <c r="D1493" s="2">
        <v>18</v>
      </c>
      <c r="E1493" s="2">
        <v>41</v>
      </c>
      <c r="F1493" s="2">
        <v>2</v>
      </c>
      <c r="G1493" s="2">
        <v>1</v>
      </c>
      <c r="H1493" s="2">
        <v>204</v>
      </c>
      <c r="I1493" s="2">
        <v>0</v>
      </c>
      <c r="J1493" t="str">
        <f>_xlfn.XLOOKUP(Table2[[#This Row],[Customer_ID]],Table1[Customer_ID],Table1[Customer_Name])</f>
        <v>Cecilia Crossman</v>
      </c>
    </row>
    <row r="1494" spans="1:10" x14ac:dyDescent="0.35">
      <c r="A1494" s="4">
        <v>40737</v>
      </c>
      <c r="B1494" s="2">
        <v>10567</v>
      </c>
      <c r="C1494" s="2">
        <v>43</v>
      </c>
      <c r="D1494" s="2">
        <v>20</v>
      </c>
      <c r="E1494" s="2">
        <v>43</v>
      </c>
      <c r="F1494" s="2">
        <v>2</v>
      </c>
      <c r="G1494" s="2">
        <v>3</v>
      </c>
      <c r="H1494" s="2">
        <v>41</v>
      </c>
      <c r="I1494" s="2">
        <v>0</v>
      </c>
      <c r="J1494" t="str">
        <f>_xlfn.XLOOKUP(Table2[[#This Row],[Customer_ID]],Table1[Customer_ID],Table1[Customer_Name])</f>
        <v>Chelsey Powers</v>
      </c>
    </row>
    <row r="1495" spans="1:10" x14ac:dyDescent="0.35">
      <c r="A1495" s="4">
        <v>40737</v>
      </c>
      <c r="B1495" s="2">
        <v>10567</v>
      </c>
      <c r="C1495" s="2">
        <v>88</v>
      </c>
      <c r="D1495" s="2">
        <v>20</v>
      </c>
      <c r="E1495" s="2">
        <v>43</v>
      </c>
      <c r="F1495" s="2">
        <v>2</v>
      </c>
      <c r="G1495" s="2">
        <v>9</v>
      </c>
      <c r="H1495" s="2">
        <v>16</v>
      </c>
      <c r="I1495" s="2">
        <v>0</v>
      </c>
      <c r="J1495" t="str">
        <f>_xlfn.XLOOKUP(Table2[[#This Row],[Customer_ID]],Table1[Customer_ID],Table1[Customer_Name])</f>
        <v>Chelsey Powers</v>
      </c>
    </row>
    <row r="1496" spans="1:10" x14ac:dyDescent="0.35">
      <c r="A1496" s="4">
        <v>40737</v>
      </c>
      <c r="B1496" s="2">
        <v>10567</v>
      </c>
      <c r="C1496" s="2">
        <v>83</v>
      </c>
      <c r="D1496" s="2">
        <v>20</v>
      </c>
      <c r="E1496" s="2">
        <v>43</v>
      </c>
      <c r="F1496" s="2">
        <v>2</v>
      </c>
      <c r="G1496" s="2">
        <v>5</v>
      </c>
      <c r="H1496" s="2">
        <v>6</v>
      </c>
      <c r="I1496" s="2">
        <v>0</v>
      </c>
      <c r="J1496" t="str">
        <f>_xlfn.XLOOKUP(Table2[[#This Row],[Customer_ID]],Table1[Customer_ID],Table1[Customer_Name])</f>
        <v>Chelsey Powers</v>
      </c>
    </row>
    <row r="1497" spans="1:10" x14ac:dyDescent="0.35">
      <c r="A1497" s="4">
        <v>40741</v>
      </c>
      <c r="B1497" s="2">
        <v>10569</v>
      </c>
      <c r="C1497" s="2">
        <v>47</v>
      </c>
      <c r="D1497" s="2">
        <v>22</v>
      </c>
      <c r="E1497" s="2">
        <v>48</v>
      </c>
      <c r="F1497" s="2">
        <v>2</v>
      </c>
      <c r="G1497" s="2">
        <v>3</v>
      </c>
      <c r="H1497" s="2">
        <v>66</v>
      </c>
      <c r="I1497" s="2">
        <v>0</v>
      </c>
      <c r="J1497" t="str">
        <f>_xlfn.XLOOKUP(Table2[[#This Row],[Customer_ID]],Table1[Customer_ID],Table1[Customer_Name])</f>
        <v>Colleen Coplin</v>
      </c>
    </row>
    <row r="1498" spans="1:10" x14ac:dyDescent="0.35">
      <c r="A1498" s="4">
        <v>40741</v>
      </c>
      <c r="B1498" s="2">
        <v>10569</v>
      </c>
      <c r="C1498" s="2">
        <v>354</v>
      </c>
      <c r="D1498" s="2">
        <v>22</v>
      </c>
      <c r="E1498" s="2">
        <v>48</v>
      </c>
      <c r="F1498" s="2">
        <v>2</v>
      </c>
      <c r="G1498" s="2">
        <v>3</v>
      </c>
      <c r="H1498" s="2">
        <v>45</v>
      </c>
      <c r="I1498" s="2">
        <v>0</v>
      </c>
      <c r="J1498" t="str">
        <f>_xlfn.XLOOKUP(Table2[[#This Row],[Customer_ID]],Table1[Customer_ID],Table1[Customer_Name])</f>
        <v>Colleen Coplin</v>
      </c>
    </row>
    <row r="1499" spans="1:10" x14ac:dyDescent="0.35">
      <c r="A1499" s="4">
        <v>40742</v>
      </c>
      <c r="B1499" s="2">
        <v>10571</v>
      </c>
      <c r="C1499" s="2">
        <v>87</v>
      </c>
      <c r="D1499" s="2">
        <v>24</v>
      </c>
      <c r="E1499" s="2">
        <v>59</v>
      </c>
      <c r="F1499" s="2">
        <v>2</v>
      </c>
      <c r="G1499" s="2">
        <v>5</v>
      </c>
      <c r="H1499" s="2">
        <v>11</v>
      </c>
      <c r="I1499" s="2">
        <v>0</v>
      </c>
      <c r="J1499" t="str">
        <f>_xlfn.XLOOKUP(Table2[[#This Row],[Customer_ID]],Table1[Customer_ID],Table1[Customer_Name])</f>
        <v>Corrinne Cataldo</v>
      </c>
    </row>
    <row r="1500" spans="1:10" x14ac:dyDescent="0.35">
      <c r="A1500" s="4">
        <v>40742</v>
      </c>
      <c r="B1500" s="2">
        <v>10571</v>
      </c>
      <c r="C1500" s="2">
        <v>194</v>
      </c>
      <c r="D1500" s="2">
        <v>24</v>
      </c>
      <c r="E1500" s="2">
        <v>59</v>
      </c>
      <c r="F1500" s="2">
        <v>2</v>
      </c>
      <c r="G1500" s="2">
        <v>3</v>
      </c>
      <c r="H1500" s="2">
        <v>13</v>
      </c>
      <c r="I1500" s="2">
        <v>0</v>
      </c>
      <c r="J1500" t="str">
        <f>_xlfn.XLOOKUP(Table2[[#This Row],[Customer_ID]],Table1[Customer_ID],Table1[Customer_Name])</f>
        <v>Corrinne Cataldo</v>
      </c>
    </row>
    <row r="1501" spans="1:10" x14ac:dyDescent="0.35">
      <c r="A1501" s="4">
        <v>40744</v>
      </c>
      <c r="B1501" s="2">
        <v>10573</v>
      </c>
      <c r="C1501" s="2">
        <v>266</v>
      </c>
      <c r="D1501" s="2">
        <v>26</v>
      </c>
      <c r="E1501" s="2">
        <v>93</v>
      </c>
      <c r="F1501" s="2">
        <v>2</v>
      </c>
      <c r="G1501" s="2">
        <v>6</v>
      </c>
      <c r="H1501" s="2">
        <v>14</v>
      </c>
      <c r="I1501" s="2">
        <v>0</v>
      </c>
      <c r="J1501" t="str">
        <f>_xlfn.XLOOKUP(Table2[[#This Row],[Customer_ID]],Table1[Customer_ID],Table1[Customer_Name])</f>
        <v>Cyndy Collie</v>
      </c>
    </row>
    <row r="1502" spans="1:10" x14ac:dyDescent="0.35">
      <c r="A1502" s="4">
        <v>40744</v>
      </c>
      <c r="B1502" s="2">
        <v>10573</v>
      </c>
      <c r="C1502" s="2">
        <v>400</v>
      </c>
      <c r="D1502" s="2">
        <v>26</v>
      </c>
      <c r="E1502" s="2">
        <v>93</v>
      </c>
      <c r="F1502" s="2">
        <v>2</v>
      </c>
      <c r="G1502" s="2">
        <v>9</v>
      </c>
      <c r="H1502" s="2">
        <v>15</v>
      </c>
      <c r="I1502" s="2">
        <v>0</v>
      </c>
      <c r="J1502" t="str">
        <f>_xlfn.XLOOKUP(Table2[[#This Row],[Customer_ID]],Table1[Customer_ID],Table1[Customer_Name])</f>
        <v>Cyndy Collie</v>
      </c>
    </row>
    <row r="1503" spans="1:10" x14ac:dyDescent="0.35">
      <c r="A1503" s="4">
        <v>40744</v>
      </c>
      <c r="B1503" s="2">
        <v>10573</v>
      </c>
      <c r="C1503" s="2">
        <v>198</v>
      </c>
      <c r="D1503" s="2">
        <v>26</v>
      </c>
      <c r="E1503" s="2">
        <v>93</v>
      </c>
      <c r="F1503" s="2">
        <v>2</v>
      </c>
      <c r="G1503" s="2">
        <v>6</v>
      </c>
      <c r="H1503" s="2">
        <v>3</v>
      </c>
      <c r="I1503" s="2">
        <v>0</v>
      </c>
      <c r="J1503" t="str">
        <f>_xlfn.XLOOKUP(Table2[[#This Row],[Customer_ID]],Table1[Customer_ID],Table1[Customer_Name])</f>
        <v>Cyndy Collie</v>
      </c>
    </row>
    <row r="1504" spans="1:10" x14ac:dyDescent="0.35">
      <c r="A1504" s="4">
        <v>40745</v>
      </c>
      <c r="B1504" s="2">
        <v>10575</v>
      </c>
      <c r="C1504" s="2">
        <v>78</v>
      </c>
      <c r="D1504" s="2">
        <v>28</v>
      </c>
      <c r="E1504" s="2">
        <v>25</v>
      </c>
      <c r="F1504" s="2">
        <v>2</v>
      </c>
      <c r="G1504" s="2">
        <v>4</v>
      </c>
      <c r="H1504" s="2">
        <v>14</v>
      </c>
      <c r="I1504" s="2">
        <v>0</v>
      </c>
      <c r="J1504" t="str">
        <f>_xlfn.XLOOKUP(Table2[[#This Row],[Customer_ID]],Table1[Customer_ID],Table1[Customer_Name])</f>
        <v>Delena Hulin</v>
      </c>
    </row>
    <row r="1505" spans="1:10" x14ac:dyDescent="0.35">
      <c r="A1505" s="4">
        <v>40745</v>
      </c>
      <c r="B1505" s="2">
        <v>10575</v>
      </c>
      <c r="C1505" s="2">
        <v>79</v>
      </c>
      <c r="D1505" s="2">
        <v>28</v>
      </c>
      <c r="E1505" s="2">
        <v>25</v>
      </c>
      <c r="F1505" s="2">
        <v>2</v>
      </c>
      <c r="G1505" s="2">
        <v>2</v>
      </c>
      <c r="H1505" s="2">
        <v>5</v>
      </c>
      <c r="I1505" s="2">
        <v>0</v>
      </c>
      <c r="J1505" t="str">
        <f>_xlfn.XLOOKUP(Table2[[#This Row],[Customer_ID]],Table1[Customer_ID],Table1[Customer_Name])</f>
        <v>Delena Hulin</v>
      </c>
    </row>
    <row r="1506" spans="1:10" x14ac:dyDescent="0.35">
      <c r="A1506" s="4">
        <v>40745</v>
      </c>
      <c r="B1506" s="2">
        <v>10575</v>
      </c>
      <c r="C1506" s="2">
        <v>74</v>
      </c>
      <c r="D1506" s="2">
        <v>28</v>
      </c>
      <c r="E1506" s="2">
        <v>25</v>
      </c>
      <c r="F1506" s="2">
        <v>2</v>
      </c>
      <c r="G1506" s="2">
        <v>2</v>
      </c>
      <c r="H1506" s="2">
        <v>6</v>
      </c>
      <c r="I1506" s="2">
        <v>0</v>
      </c>
      <c r="J1506" t="str">
        <f>_xlfn.XLOOKUP(Table2[[#This Row],[Customer_ID]],Table1[Customer_ID],Table1[Customer_Name])</f>
        <v>Delena Hulin</v>
      </c>
    </row>
    <row r="1507" spans="1:10" x14ac:dyDescent="0.35">
      <c r="A1507" s="4">
        <v>40745</v>
      </c>
      <c r="B1507" s="2">
        <v>10575</v>
      </c>
      <c r="C1507" s="2">
        <v>86</v>
      </c>
      <c r="D1507" s="2">
        <v>28</v>
      </c>
      <c r="E1507" s="2">
        <v>25</v>
      </c>
      <c r="F1507" s="2">
        <v>2</v>
      </c>
      <c r="G1507" s="2">
        <v>4</v>
      </c>
      <c r="H1507" s="2">
        <v>22</v>
      </c>
      <c r="I1507" s="2">
        <v>0</v>
      </c>
      <c r="J1507" t="str">
        <f>_xlfn.XLOOKUP(Table2[[#This Row],[Customer_ID]],Table1[Customer_ID],Table1[Customer_Name])</f>
        <v>Delena Hulin</v>
      </c>
    </row>
    <row r="1508" spans="1:10" x14ac:dyDescent="0.35">
      <c r="A1508" s="4">
        <v>40748</v>
      </c>
      <c r="B1508" s="2">
        <v>10577</v>
      </c>
      <c r="C1508" s="2">
        <v>259</v>
      </c>
      <c r="D1508" s="2">
        <v>30</v>
      </c>
      <c r="E1508" s="2">
        <v>33</v>
      </c>
      <c r="F1508" s="2">
        <v>2</v>
      </c>
      <c r="G1508" s="2">
        <v>6</v>
      </c>
      <c r="H1508" s="2">
        <v>22</v>
      </c>
      <c r="I1508" s="2">
        <v>0</v>
      </c>
      <c r="J1508" t="str">
        <f>_xlfn.XLOOKUP(Table2[[#This Row],[Customer_ID]],Table1[Customer_ID],Table1[Customer_Name])</f>
        <v>Dinah Trusty</v>
      </c>
    </row>
    <row r="1509" spans="1:10" x14ac:dyDescent="0.35">
      <c r="A1509" s="4">
        <v>40748</v>
      </c>
      <c r="B1509" s="2">
        <v>10577</v>
      </c>
      <c r="C1509" s="2">
        <v>341</v>
      </c>
      <c r="D1509" s="2">
        <v>30</v>
      </c>
      <c r="E1509" s="2">
        <v>33</v>
      </c>
      <c r="F1509" s="2">
        <v>2</v>
      </c>
      <c r="G1509" s="2">
        <v>3</v>
      </c>
      <c r="H1509" s="2">
        <v>3</v>
      </c>
      <c r="I1509" s="2">
        <v>0</v>
      </c>
      <c r="J1509" t="str">
        <f>_xlfn.XLOOKUP(Table2[[#This Row],[Customer_ID]],Table1[Customer_ID],Table1[Customer_Name])</f>
        <v>Dinah Trusty</v>
      </c>
    </row>
    <row r="1510" spans="1:10" x14ac:dyDescent="0.35">
      <c r="A1510" s="4">
        <v>40748</v>
      </c>
      <c r="B1510" s="2">
        <v>10577</v>
      </c>
      <c r="C1510" s="2">
        <v>344</v>
      </c>
      <c r="D1510" s="2">
        <v>30</v>
      </c>
      <c r="E1510" s="2">
        <v>33</v>
      </c>
      <c r="F1510" s="2">
        <v>2</v>
      </c>
      <c r="G1510" s="2">
        <v>6</v>
      </c>
      <c r="H1510" s="2">
        <v>4</v>
      </c>
      <c r="I1510" s="2">
        <v>0</v>
      </c>
      <c r="J1510" t="str">
        <f>_xlfn.XLOOKUP(Table2[[#This Row],[Customer_ID]],Table1[Customer_ID],Table1[Customer_Name])</f>
        <v>Dinah Trusty</v>
      </c>
    </row>
    <row r="1511" spans="1:10" x14ac:dyDescent="0.35">
      <c r="A1511" s="4">
        <v>40750</v>
      </c>
      <c r="B1511" s="2">
        <v>10579</v>
      </c>
      <c r="C1511" s="2">
        <v>340</v>
      </c>
      <c r="D1511" s="2">
        <v>32</v>
      </c>
      <c r="E1511" s="2">
        <v>35</v>
      </c>
      <c r="F1511" s="2">
        <v>2</v>
      </c>
      <c r="G1511" s="2">
        <v>3</v>
      </c>
      <c r="H1511" s="2">
        <v>2</v>
      </c>
      <c r="I1511" s="2">
        <v>0</v>
      </c>
      <c r="J1511" t="str">
        <f>_xlfn.XLOOKUP(Table2[[#This Row],[Customer_ID]],Table1[Customer_ID],Table1[Customer_Name])</f>
        <v>Doretha Mcmunn</v>
      </c>
    </row>
    <row r="1512" spans="1:10" x14ac:dyDescent="0.35">
      <c r="A1512" s="4">
        <v>40750</v>
      </c>
      <c r="B1512" s="2">
        <v>10579</v>
      </c>
      <c r="C1512" s="2">
        <v>221</v>
      </c>
      <c r="D1512" s="2">
        <v>32</v>
      </c>
      <c r="E1512" s="2">
        <v>35</v>
      </c>
      <c r="F1512" s="2">
        <v>2</v>
      </c>
      <c r="G1512" s="2">
        <v>2</v>
      </c>
      <c r="H1512" s="2">
        <v>4</v>
      </c>
      <c r="I1512" s="2">
        <v>0</v>
      </c>
      <c r="J1512" t="str">
        <f>_xlfn.XLOOKUP(Table2[[#This Row],[Customer_ID]],Table1[Customer_ID],Table1[Customer_Name])</f>
        <v>Doretha Mcmunn</v>
      </c>
    </row>
    <row r="1513" spans="1:10" x14ac:dyDescent="0.35">
      <c r="A1513" s="4">
        <v>40751</v>
      </c>
      <c r="B1513" s="2">
        <v>10581</v>
      </c>
      <c r="C1513" s="2">
        <v>247</v>
      </c>
      <c r="D1513" s="2">
        <v>34</v>
      </c>
      <c r="E1513" s="2">
        <v>96</v>
      </c>
      <c r="F1513" s="2">
        <v>2</v>
      </c>
      <c r="G1513" s="2">
        <v>1</v>
      </c>
      <c r="H1513" s="2">
        <v>2</v>
      </c>
      <c r="I1513" s="2">
        <v>0</v>
      </c>
      <c r="J1513" t="str">
        <f>_xlfn.XLOOKUP(Table2[[#This Row],[Customer_ID]],Table1[Customer_ID],Table1[Customer_Name])</f>
        <v>Duane Dopp</v>
      </c>
    </row>
    <row r="1514" spans="1:10" x14ac:dyDescent="0.35">
      <c r="A1514" s="4">
        <v>40755</v>
      </c>
      <c r="B1514" s="2">
        <v>10583</v>
      </c>
      <c r="C1514" s="2">
        <v>372</v>
      </c>
      <c r="D1514" s="2">
        <v>36</v>
      </c>
      <c r="E1514" s="2">
        <v>54</v>
      </c>
      <c r="F1514" s="2">
        <v>2</v>
      </c>
      <c r="G1514" s="2">
        <v>2</v>
      </c>
      <c r="H1514" s="2">
        <v>9</v>
      </c>
      <c r="I1514" s="2">
        <v>0</v>
      </c>
      <c r="J1514" t="str">
        <f>_xlfn.XLOOKUP(Table2[[#This Row],[Customer_ID]],Table1[Customer_ID],Table1[Customer_Name])</f>
        <v>Earnestine Heidenreich</v>
      </c>
    </row>
    <row r="1515" spans="1:10" x14ac:dyDescent="0.35">
      <c r="A1515" s="4">
        <v>40755</v>
      </c>
      <c r="B1515" s="2">
        <v>10583</v>
      </c>
      <c r="C1515" s="2">
        <v>243</v>
      </c>
      <c r="D1515" s="2">
        <v>36</v>
      </c>
      <c r="E1515" s="2">
        <v>54</v>
      </c>
      <c r="F1515" s="2">
        <v>2</v>
      </c>
      <c r="G1515" s="2">
        <v>1</v>
      </c>
      <c r="H1515" s="2">
        <v>4</v>
      </c>
      <c r="I1515" s="2">
        <v>0</v>
      </c>
      <c r="J1515" t="str">
        <f>_xlfn.XLOOKUP(Table2[[#This Row],[Customer_ID]],Table1[Customer_ID],Table1[Customer_Name])</f>
        <v>Earnestine Heidenreich</v>
      </c>
    </row>
    <row r="1516" spans="1:10" x14ac:dyDescent="0.35">
      <c r="A1516" s="4">
        <v>40755</v>
      </c>
      <c r="B1516" s="2">
        <v>10583</v>
      </c>
      <c r="C1516" s="2">
        <v>244</v>
      </c>
      <c r="D1516" s="2">
        <v>36</v>
      </c>
      <c r="E1516" s="2">
        <v>54</v>
      </c>
      <c r="F1516" s="2">
        <v>2</v>
      </c>
      <c r="G1516" s="2">
        <v>2</v>
      </c>
      <c r="H1516" s="2">
        <v>3</v>
      </c>
      <c r="I1516" s="2">
        <v>0</v>
      </c>
      <c r="J1516" t="str">
        <f>_xlfn.XLOOKUP(Table2[[#This Row],[Customer_ID]],Table1[Customer_ID],Table1[Customer_Name])</f>
        <v>Earnestine Heidenreich</v>
      </c>
    </row>
    <row r="1517" spans="1:10" x14ac:dyDescent="0.35">
      <c r="A1517" s="4">
        <v>40756</v>
      </c>
      <c r="B1517" s="2">
        <v>10585</v>
      </c>
      <c r="C1517" s="2">
        <v>389</v>
      </c>
      <c r="D1517" s="2">
        <v>38</v>
      </c>
      <c r="E1517" s="2">
        <v>60</v>
      </c>
      <c r="F1517" s="2">
        <v>2</v>
      </c>
      <c r="G1517" s="2">
        <v>1</v>
      </c>
      <c r="H1517" s="2">
        <v>8</v>
      </c>
      <c r="I1517" s="2">
        <v>0</v>
      </c>
      <c r="J1517" t="str">
        <f>_xlfn.XLOOKUP(Table2[[#This Row],[Customer_ID]],Table1[Customer_ID],Table1[Customer_Name])</f>
        <v>Edison Littell</v>
      </c>
    </row>
    <row r="1518" spans="1:10" x14ac:dyDescent="0.35">
      <c r="A1518" s="4">
        <v>40757</v>
      </c>
      <c r="B1518" s="2">
        <v>10587</v>
      </c>
      <c r="C1518" s="2">
        <v>384</v>
      </c>
      <c r="D1518" s="2">
        <v>40</v>
      </c>
      <c r="E1518" s="2">
        <v>17</v>
      </c>
      <c r="F1518" s="2">
        <v>2</v>
      </c>
      <c r="G1518" s="2">
        <v>2</v>
      </c>
      <c r="H1518" s="2">
        <v>13</v>
      </c>
      <c r="I1518" s="2">
        <v>0</v>
      </c>
      <c r="J1518" t="str">
        <f>_xlfn.XLOOKUP(Table2[[#This Row],[Customer_ID]],Table1[Customer_ID],Table1[Customer_Name])</f>
        <v>Eleonora Eddinger</v>
      </c>
    </row>
    <row r="1519" spans="1:10" x14ac:dyDescent="0.35">
      <c r="A1519" s="4">
        <v>40757</v>
      </c>
      <c r="B1519" s="2">
        <v>10587</v>
      </c>
      <c r="C1519" s="2">
        <v>453</v>
      </c>
      <c r="D1519" s="2">
        <v>40</v>
      </c>
      <c r="E1519" s="2">
        <v>17</v>
      </c>
      <c r="F1519" s="2">
        <v>2</v>
      </c>
      <c r="G1519" s="2">
        <v>3</v>
      </c>
      <c r="H1519" s="2">
        <v>19</v>
      </c>
      <c r="I1519" s="2">
        <v>0</v>
      </c>
      <c r="J1519" t="str">
        <f>_xlfn.XLOOKUP(Table2[[#This Row],[Customer_ID]],Table1[Customer_ID],Table1[Customer_Name])</f>
        <v>Eleonora Eddinger</v>
      </c>
    </row>
    <row r="1520" spans="1:10" x14ac:dyDescent="0.35">
      <c r="A1520" s="4">
        <v>40757</v>
      </c>
      <c r="B1520" s="2">
        <v>10587</v>
      </c>
      <c r="C1520" s="2">
        <v>395</v>
      </c>
      <c r="D1520" s="2">
        <v>40</v>
      </c>
      <c r="E1520" s="2">
        <v>17</v>
      </c>
      <c r="F1520" s="2">
        <v>2</v>
      </c>
      <c r="G1520" s="2">
        <v>3</v>
      </c>
      <c r="H1520" s="2">
        <v>14</v>
      </c>
      <c r="I1520" s="2">
        <v>0</v>
      </c>
      <c r="J1520" t="str">
        <f>_xlfn.XLOOKUP(Table2[[#This Row],[Customer_ID]],Table1[Customer_ID],Table1[Customer_Name])</f>
        <v>Eleonora Eddinger</v>
      </c>
    </row>
    <row r="1521" spans="1:10" x14ac:dyDescent="0.35">
      <c r="A1521" s="4">
        <v>40759</v>
      </c>
      <c r="B1521" s="2">
        <v>10589</v>
      </c>
      <c r="C1521" s="2">
        <v>441</v>
      </c>
      <c r="D1521" s="2">
        <v>42</v>
      </c>
      <c r="E1521" s="2">
        <v>87</v>
      </c>
      <c r="F1521" s="2">
        <v>2</v>
      </c>
      <c r="G1521" s="2">
        <v>3</v>
      </c>
      <c r="H1521" s="2">
        <v>29</v>
      </c>
      <c r="I1521" s="2">
        <v>0</v>
      </c>
      <c r="J1521" t="str">
        <f>_xlfn.XLOOKUP(Table2[[#This Row],[Customer_ID]],Table1[Customer_ID],Table1[Customer_Name])</f>
        <v>Eliseo Mangual</v>
      </c>
    </row>
    <row r="1522" spans="1:10" x14ac:dyDescent="0.35">
      <c r="A1522" s="4">
        <v>40762</v>
      </c>
      <c r="B1522" s="2">
        <v>10591</v>
      </c>
      <c r="C1522" s="2">
        <v>432</v>
      </c>
      <c r="D1522" s="2">
        <v>44</v>
      </c>
      <c r="E1522" s="2">
        <v>13</v>
      </c>
      <c r="F1522" s="2">
        <v>2</v>
      </c>
      <c r="G1522" s="2">
        <v>5</v>
      </c>
      <c r="H1522" s="2">
        <v>50</v>
      </c>
      <c r="I1522" s="2">
        <v>0</v>
      </c>
      <c r="J1522" t="str">
        <f>_xlfn.XLOOKUP(Table2[[#This Row],[Customer_ID]],Table1[Customer_ID],Table1[Customer_Name])</f>
        <v>Eura Gordan</v>
      </c>
    </row>
    <row r="1523" spans="1:10" x14ac:dyDescent="0.35">
      <c r="A1523" s="4">
        <v>40762</v>
      </c>
      <c r="B1523" s="2">
        <v>10591</v>
      </c>
      <c r="C1523" s="2">
        <v>446</v>
      </c>
      <c r="D1523" s="2">
        <v>44</v>
      </c>
      <c r="E1523" s="2">
        <v>13</v>
      </c>
      <c r="F1523" s="2">
        <v>2</v>
      </c>
      <c r="G1523" s="2">
        <v>6</v>
      </c>
      <c r="H1523" s="2">
        <v>40</v>
      </c>
      <c r="I1523" s="2">
        <v>0</v>
      </c>
      <c r="J1523" t="str">
        <f>_xlfn.XLOOKUP(Table2[[#This Row],[Customer_ID]],Table1[Customer_ID],Table1[Customer_Name])</f>
        <v>Eura Gordan</v>
      </c>
    </row>
    <row r="1524" spans="1:10" x14ac:dyDescent="0.35">
      <c r="A1524" s="4">
        <v>40762</v>
      </c>
      <c r="B1524" s="2">
        <v>10591</v>
      </c>
      <c r="C1524" s="2">
        <v>431</v>
      </c>
      <c r="D1524" s="2">
        <v>44</v>
      </c>
      <c r="E1524" s="2">
        <v>13</v>
      </c>
      <c r="F1524" s="2">
        <v>2</v>
      </c>
      <c r="G1524" s="2">
        <v>3</v>
      </c>
      <c r="H1524" s="2">
        <v>15</v>
      </c>
      <c r="I1524" s="2">
        <v>0</v>
      </c>
      <c r="J1524" t="str">
        <f>_xlfn.XLOOKUP(Table2[[#This Row],[Customer_ID]],Table1[Customer_ID],Table1[Customer_Name])</f>
        <v>Eura Gordan</v>
      </c>
    </row>
    <row r="1525" spans="1:10" x14ac:dyDescent="0.35">
      <c r="A1525" s="4">
        <v>40764</v>
      </c>
      <c r="B1525" s="2">
        <v>10593</v>
      </c>
      <c r="C1525" s="2">
        <v>292</v>
      </c>
      <c r="D1525" s="2">
        <v>46</v>
      </c>
      <c r="E1525" s="2">
        <v>1</v>
      </c>
      <c r="F1525" s="2">
        <v>2</v>
      </c>
      <c r="G1525" s="2">
        <v>7</v>
      </c>
      <c r="H1525" s="2">
        <v>4</v>
      </c>
      <c r="I1525" s="2">
        <v>0</v>
      </c>
      <c r="J1525" t="str">
        <f>_xlfn.XLOOKUP(Table2[[#This Row],[Customer_ID]],Table1[Customer_ID],Table1[Customer_Name])</f>
        <v>Fay Cumbo</v>
      </c>
    </row>
    <row r="1526" spans="1:10" x14ac:dyDescent="0.35">
      <c r="A1526" s="4">
        <v>40764</v>
      </c>
      <c r="B1526" s="2">
        <v>10593</v>
      </c>
      <c r="C1526" s="2">
        <v>327</v>
      </c>
      <c r="D1526" s="2">
        <v>46</v>
      </c>
      <c r="E1526" s="2">
        <v>1</v>
      </c>
      <c r="F1526" s="2">
        <v>2</v>
      </c>
      <c r="G1526" s="2">
        <v>1</v>
      </c>
      <c r="H1526" s="2">
        <v>78</v>
      </c>
      <c r="I1526" s="2">
        <v>0</v>
      </c>
      <c r="J1526" t="str">
        <f>_xlfn.XLOOKUP(Table2[[#This Row],[Customer_ID]],Table1[Customer_ID],Table1[Customer_Name])</f>
        <v>Fay Cumbo</v>
      </c>
    </row>
    <row r="1527" spans="1:10" x14ac:dyDescent="0.35">
      <c r="A1527" s="4">
        <v>40764</v>
      </c>
      <c r="B1527" s="2">
        <v>10593</v>
      </c>
      <c r="C1527" s="2">
        <v>425</v>
      </c>
      <c r="D1527" s="2">
        <v>46</v>
      </c>
      <c r="E1527" s="2">
        <v>1</v>
      </c>
      <c r="F1527" s="2">
        <v>2</v>
      </c>
      <c r="G1527" s="2">
        <v>1</v>
      </c>
      <c r="H1527" s="2">
        <v>17</v>
      </c>
      <c r="I1527" s="2">
        <v>0</v>
      </c>
      <c r="J1527" t="str">
        <f>_xlfn.XLOOKUP(Table2[[#This Row],[Customer_ID]],Table1[Customer_ID],Table1[Customer_Name])</f>
        <v>Fay Cumbo</v>
      </c>
    </row>
    <row r="1528" spans="1:10" x14ac:dyDescent="0.35">
      <c r="A1528" s="4">
        <v>40765</v>
      </c>
      <c r="B1528" s="2">
        <v>10595</v>
      </c>
      <c r="C1528" s="2">
        <v>428</v>
      </c>
      <c r="D1528" s="2">
        <v>48</v>
      </c>
      <c r="E1528" s="2">
        <v>19</v>
      </c>
      <c r="F1528" s="2">
        <v>2</v>
      </c>
      <c r="G1528" s="2">
        <v>1</v>
      </c>
      <c r="H1528" s="2">
        <v>15</v>
      </c>
      <c r="I1528" s="2">
        <v>0</v>
      </c>
      <c r="J1528" t="str">
        <f>_xlfn.XLOOKUP(Table2[[#This Row],[Customer_ID]],Table1[Customer_ID],Table1[Customer_Name])</f>
        <v>Federico Flores</v>
      </c>
    </row>
    <row r="1529" spans="1:10" x14ac:dyDescent="0.35">
      <c r="A1529" s="4">
        <v>40765</v>
      </c>
      <c r="B1529" s="2">
        <v>10595</v>
      </c>
      <c r="C1529" s="2">
        <v>254</v>
      </c>
      <c r="D1529" s="2">
        <v>48</v>
      </c>
      <c r="E1529" s="2">
        <v>19</v>
      </c>
      <c r="F1529" s="2">
        <v>2</v>
      </c>
      <c r="G1529" s="2">
        <v>5</v>
      </c>
      <c r="H1529" s="2">
        <v>4</v>
      </c>
      <c r="I1529" s="2">
        <v>0</v>
      </c>
      <c r="J1529" t="str">
        <f>_xlfn.XLOOKUP(Table2[[#This Row],[Customer_ID]],Table1[Customer_ID],Table1[Customer_Name])</f>
        <v>Federico Flores</v>
      </c>
    </row>
    <row r="1530" spans="1:10" x14ac:dyDescent="0.35">
      <c r="A1530" s="4">
        <v>40765</v>
      </c>
      <c r="B1530" s="2">
        <v>10595</v>
      </c>
      <c r="C1530" s="2">
        <v>413</v>
      </c>
      <c r="D1530" s="2">
        <v>48</v>
      </c>
      <c r="E1530" s="2">
        <v>19</v>
      </c>
      <c r="F1530" s="2">
        <v>2</v>
      </c>
      <c r="G1530" s="2">
        <v>3</v>
      </c>
      <c r="H1530" s="2">
        <v>20</v>
      </c>
      <c r="I1530" s="2">
        <v>0</v>
      </c>
      <c r="J1530" t="str">
        <f>_xlfn.XLOOKUP(Table2[[#This Row],[Customer_ID]],Table1[Customer_ID],Table1[Customer_Name])</f>
        <v>Federico Flores</v>
      </c>
    </row>
    <row r="1531" spans="1:10" x14ac:dyDescent="0.35">
      <c r="A1531" s="4">
        <v>40766</v>
      </c>
      <c r="B1531" s="2">
        <v>10597</v>
      </c>
      <c r="C1531" s="2">
        <v>397</v>
      </c>
      <c r="D1531" s="2">
        <v>50</v>
      </c>
      <c r="E1531" s="2">
        <v>81</v>
      </c>
      <c r="F1531" s="2">
        <v>2</v>
      </c>
      <c r="G1531" s="2">
        <v>6</v>
      </c>
      <c r="H1531" s="2">
        <v>12</v>
      </c>
      <c r="I1531" s="2">
        <v>0</v>
      </c>
      <c r="J1531" t="str">
        <f>_xlfn.XLOOKUP(Table2[[#This Row],[Customer_ID]],Table1[Customer_ID],Table1[Customer_Name])</f>
        <v>Gia Junkin</v>
      </c>
    </row>
    <row r="1532" spans="1:10" x14ac:dyDescent="0.35">
      <c r="A1532" s="4">
        <v>40766</v>
      </c>
      <c r="B1532" s="2">
        <v>10597</v>
      </c>
      <c r="C1532" s="2">
        <v>387</v>
      </c>
      <c r="D1532" s="2">
        <v>50</v>
      </c>
      <c r="E1532" s="2">
        <v>81</v>
      </c>
      <c r="F1532" s="2">
        <v>2</v>
      </c>
      <c r="G1532" s="2">
        <v>2</v>
      </c>
      <c r="H1532" s="2">
        <v>7</v>
      </c>
      <c r="I1532" s="2">
        <v>0</v>
      </c>
      <c r="J1532" t="str">
        <f>_xlfn.XLOOKUP(Table2[[#This Row],[Customer_ID]],Table1[Customer_ID],Table1[Customer_Name])</f>
        <v>Gia Junkin</v>
      </c>
    </row>
    <row r="1533" spans="1:10" x14ac:dyDescent="0.35">
      <c r="A1533" s="4">
        <v>40766</v>
      </c>
      <c r="B1533" s="2">
        <v>10597</v>
      </c>
      <c r="C1533" s="2">
        <v>393</v>
      </c>
      <c r="D1533" s="2">
        <v>50</v>
      </c>
      <c r="E1533" s="2">
        <v>81</v>
      </c>
      <c r="F1533" s="2">
        <v>2</v>
      </c>
      <c r="G1533" s="2">
        <v>2</v>
      </c>
      <c r="H1533" s="2">
        <v>10</v>
      </c>
      <c r="I1533" s="2">
        <v>0</v>
      </c>
      <c r="J1533" t="str">
        <f>_xlfn.XLOOKUP(Table2[[#This Row],[Customer_ID]],Table1[Customer_ID],Table1[Customer_Name])</f>
        <v>Gia Junkin</v>
      </c>
    </row>
    <row r="1534" spans="1:10" x14ac:dyDescent="0.35">
      <c r="A1534" s="4">
        <v>40770</v>
      </c>
      <c r="B1534" s="2">
        <v>10599</v>
      </c>
      <c r="C1534" s="2">
        <v>187</v>
      </c>
      <c r="D1534" s="2">
        <v>52</v>
      </c>
      <c r="E1534" s="2">
        <v>32</v>
      </c>
      <c r="F1534" s="2">
        <v>2</v>
      </c>
      <c r="G1534" s="2">
        <v>3</v>
      </c>
      <c r="H1534" s="2">
        <v>413</v>
      </c>
      <c r="I1534" s="2">
        <v>0</v>
      </c>
      <c r="J1534" t="str">
        <f>_xlfn.XLOOKUP(Table2[[#This Row],[Customer_ID]],Table1[Customer_ID],Table1[Customer_Name])</f>
        <v>Glennis Going</v>
      </c>
    </row>
    <row r="1535" spans="1:10" x14ac:dyDescent="0.35">
      <c r="A1535" s="4">
        <v>40771</v>
      </c>
      <c r="B1535" s="2">
        <v>10601</v>
      </c>
      <c r="C1535" s="2">
        <v>188</v>
      </c>
      <c r="D1535" s="2">
        <v>54</v>
      </c>
      <c r="E1535" s="2">
        <v>42</v>
      </c>
      <c r="F1535" s="2">
        <v>2</v>
      </c>
      <c r="G1535" s="2">
        <v>5</v>
      </c>
      <c r="H1535" s="2">
        <v>650</v>
      </c>
      <c r="I1535" s="2">
        <v>0</v>
      </c>
      <c r="J1535" t="str">
        <f>_xlfn.XLOOKUP(Table2[[#This Row],[Customer_ID]],Table1[Customer_ID],Table1[Customer_Name])</f>
        <v>Harmony Burell</v>
      </c>
    </row>
    <row r="1536" spans="1:10" x14ac:dyDescent="0.35">
      <c r="A1536" s="4">
        <v>40771</v>
      </c>
      <c r="B1536" s="2">
        <v>10601</v>
      </c>
      <c r="C1536" s="2">
        <v>186</v>
      </c>
      <c r="D1536" s="2">
        <v>54</v>
      </c>
      <c r="E1536" s="2">
        <v>42</v>
      </c>
      <c r="F1536" s="2">
        <v>2</v>
      </c>
      <c r="G1536" s="2">
        <v>3</v>
      </c>
      <c r="H1536" s="2">
        <v>548</v>
      </c>
      <c r="I1536" s="2">
        <v>0</v>
      </c>
      <c r="J1536" t="str">
        <f>_xlfn.XLOOKUP(Table2[[#This Row],[Customer_ID]],Table1[Customer_ID],Table1[Customer_Name])</f>
        <v>Harmony Burell</v>
      </c>
    </row>
    <row r="1537" spans="1:10" x14ac:dyDescent="0.35">
      <c r="A1537" s="4">
        <v>40773</v>
      </c>
      <c r="B1537" s="2">
        <v>10603</v>
      </c>
      <c r="C1537" s="2">
        <v>27</v>
      </c>
      <c r="D1537" s="2">
        <v>56</v>
      </c>
      <c r="E1537" s="2">
        <v>50</v>
      </c>
      <c r="F1537" s="2">
        <v>2</v>
      </c>
      <c r="G1537" s="2">
        <v>5</v>
      </c>
      <c r="H1537" s="2">
        <v>769</v>
      </c>
      <c r="I1537" s="2">
        <v>0</v>
      </c>
      <c r="J1537" t="str">
        <f>_xlfn.XLOOKUP(Table2[[#This Row],[Customer_ID]],Table1[Customer_ID],Table1[Customer_Name])</f>
        <v>Hsiu Hinrichs</v>
      </c>
    </row>
    <row r="1538" spans="1:10" x14ac:dyDescent="0.35">
      <c r="A1538" s="4">
        <v>40773</v>
      </c>
      <c r="B1538" s="2">
        <v>10603</v>
      </c>
      <c r="C1538" s="2">
        <v>29</v>
      </c>
      <c r="D1538" s="2">
        <v>56</v>
      </c>
      <c r="E1538" s="2">
        <v>50</v>
      </c>
      <c r="F1538" s="2">
        <v>2</v>
      </c>
      <c r="G1538" s="2">
        <v>9</v>
      </c>
      <c r="H1538" s="2">
        <v>647</v>
      </c>
      <c r="I1538" s="2">
        <v>0</v>
      </c>
      <c r="J1538" t="str">
        <f>_xlfn.XLOOKUP(Table2[[#This Row],[Customer_ID]],Table1[Customer_ID],Table1[Customer_Name])</f>
        <v>Hsiu Hinrichs</v>
      </c>
    </row>
    <row r="1539" spans="1:10" x14ac:dyDescent="0.35">
      <c r="A1539" s="4">
        <v>40776</v>
      </c>
      <c r="B1539" s="2">
        <v>10605</v>
      </c>
      <c r="C1539" s="2">
        <v>115</v>
      </c>
      <c r="D1539" s="2">
        <v>58</v>
      </c>
      <c r="E1539" s="2">
        <v>41</v>
      </c>
      <c r="F1539" s="2">
        <v>2</v>
      </c>
      <c r="G1539" s="2">
        <v>5</v>
      </c>
      <c r="H1539" s="2">
        <v>2882</v>
      </c>
      <c r="I1539" s="2">
        <v>0</v>
      </c>
      <c r="J1539" t="str">
        <f>_xlfn.XLOOKUP(Table2[[#This Row],[Customer_ID]],Table1[Customer_ID],Table1[Customer_Name])</f>
        <v>Isis Isom</v>
      </c>
    </row>
    <row r="1540" spans="1:10" x14ac:dyDescent="0.35">
      <c r="A1540" s="4">
        <v>40776</v>
      </c>
      <c r="B1540" s="2">
        <v>10605</v>
      </c>
      <c r="C1540" s="2">
        <v>116</v>
      </c>
      <c r="D1540" s="2">
        <v>58</v>
      </c>
      <c r="E1540" s="2">
        <v>41</v>
      </c>
      <c r="F1540" s="2">
        <v>2</v>
      </c>
      <c r="G1540" s="2">
        <v>4</v>
      </c>
      <c r="H1540" s="2">
        <v>1825</v>
      </c>
      <c r="I1540" s="2">
        <v>0</v>
      </c>
      <c r="J1540" t="str">
        <f>_xlfn.XLOOKUP(Table2[[#This Row],[Customer_ID]],Table1[Customer_ID],Table1[Customer_Name])</f>
        <v>Isis Isom</v>
      </c>
    </row>
    <row r="1541" spans="1:10" x14ac:dyDescent="0.35">
      <c r="A1541" s="4">
        <v>40776</v>
      </c>
      <c r="B1541" s="2">
        <v>10605</v>
      </c>
      <c r="C1541" s="2">
        <v>113</v>
      </c>
      <c r="D1541" s="2">
        <v>58</v>
      </c>
      <c r="E1541" s="2">
        <v>41</v>
      </c>
      <c r="F1541" s="2">
        <v>2</v>
      </c>
      <c r="G1541" s="2">
        <v>3</v>
      </c>
      <c r="H1541" s="2">
        <v>1301</v>
      </c>
      <c r="I1541" s="2">
        <v>0</v>
      </c>
      <c r="J1541" t="str">
        <f>_xlfn.XLOOKUP(Table2[[#This Row],[Customer_ID]],Table1[Customer_ID],Table1[Customer_Name])</f>
        <v>Isis Isom</v>
      </c>
    </row>
    <row r="1542" spans="1:10" x14ac:dyDescent="0.35">
      <c r="A1542" s="4">
        <v>40776</v>
      </c>
      <c r="B1542" s="2">
        <v>10605</v>
      </c>
      <c r="C1542" s="2">
        <v>114</v>
      </c>
      <c r="D1542" s="2">
        <v>58</v>
      </c>
      <c r="E1542" s="2">
        <v>41</v>
      </c>
      <c r="F1542" s="2">
        <v>2</v>
      </c>
      <c r="G1542" s="2">
        <v>1</v>
      </c>
      <c r="H1542" s="2">
        <v>1952</v>
      </c>
      <c r="I1542" s="2">
        <v>0</v>
      </c>
      <c r="J1542" t="str">
        <f>_xlfn.XLOOKUP(Table2[[#This Row],[Customer_ID]],Table1[Customer_ID],Table1[Customer_Name])</f>
        <v>Isis Isom</v>
      </c>
    </row>
    <row r="1543" spans="1:10" x14ac:dyDescent="0.35">
      <c r="A1543" s="4">
        <v>40777</v>
      </c>
      <c r="B1543" s="2">
        <v>10607</v>
      </c>
      <c r="C1543" s="2">
        <v>202</v>
      </c>
      <c r="D1543" s="2">
        <v>60</v>
      </c>
      <c r="E1543" s="2">
        <v>80</v>
      </c>
      <c r="F1543" s="2">
        <v>2</v>
      </c>
      <c r="G1543" s="2">
        <v>2</v>
      </c>
      <c r="H1543" s="2">
        <v>4</v>
      </c>
      <c r="I1543" s="2">
        <v>0</v>
      </c>
      <c r="J1543" t="str">
        <f>_xlfn.XLOOKUP(Table2[[#This Row],[Customer_ID]],Table1[Customer_ID],Table1[Customer_Name])</f>
        <v>Janetta Jhonson</v>
      </c>
    </row>
    <row r="1544" spans="1:10" x14ac:dyDescent="0.35">
      <c r="A1544" s="4">
        <v>40777</v>
      </c>
      <c r="B1544" s="2">
        <v>10607</v>
      </c>
      <c r="C1544" s="2">
        <v>45</v>
      </c>
      <c r="D1544" s="2">
        <v>60</v>
      </c>
      <c r="E1544" s="2">
        <v>80</v>
      </c>
      <c r="F1544" s="2">
        <v>2</v>
      </c>
      <c r="G1544" s="2">
        <v>2</v>
      </c>
      <c r="H1544" s="2">
        <v>31</v>
      </c>
      <c r="I1544" s="2">
        <v>0</v>
      </c>
      <c r="J1544" t="str">
        <f>_xlfn.XLOOKUP(Table2[[#This Row],[Customer_ID]],Table1[Customer_ID],Table1[Customer_Name])</f>
        <v>Janetta Jhonson</v>
      </c>
    </row>
    <row r="1545" spans="1:10" x14ac:dyDescent="0.35">
      <c r="A1545" s="4">
        <v>40777</v>
      </c>
      <c r="B1545" s="2">
        <v>10607</v>
      </c>
      <c r="C1545" s="2">
        <v>302</v>
      </c>
      <c r="D1545" s="2">
        <v>60</v>
      </c>
      <c r="E1545" s="2">
        <v>80</v>
      </c>
      <c r="F1545" s="2">
        <v>2</v>
      </c>
      <c r="G1545" s="2">
        <v>3</v>
      </c>
      <c r="H1545" s="2">
        <v>15</v>
      </c>
      <c r="I1545" s="2">
        <v>0</v>
      </c>
      <c r="J1545" t="str">
        <f>_xlfn.XLOOKUP(Table2[[#This Row],[Customer_ID]],Table1[Customer_ID],Table1[Customer_Name])</f>
        <v>Janetta Jhonson</v>
      </c>
    </row>
    <row r="1546" spans="1:10" x14ac:dyDescent="0.35">
      <c r="A1546" s="4">
        <v>40777</v>
      </c>
      <c r="B1546" s="2">
        <v>10607</v>
      </c>
      <c r="C1546" s="2">
        <v>200</v>
      </c>
      <c r="D1546" s="2">
        <v>60</v>
      </c>
      <c r="E1546" s="2">
        <v>80</v>
      </c>
      <c r="F1546" s="2">
        <v>2</v>
      </c>
      <c r="G1546" s="2">
        <v>7</v>
      </c>
      <c r="H1546" s="2">
        <v>4</v>
      </c>
      <c r="I1546" s="2">
        <v>0</v>
      </c>
      <c r="J1546" t="str">
        <f>_xlfn.XLOOKUP(Table2[[#This Row],[Customer_ID]],Table1[Customer_ID],Table1[Customer_Name])</f>
        <v>Janetta Jhonson</v>
      </c>
    </row>
    <row r="1547" spans="1:10" x14ac:dyDescent="0.35">
      <c r="A1547" s="4">
        <v>40777</v>
      </c>
      <c r="B1547" s="2">
        <v>10607</v>
      </c>
      <c r="C1547" s="2">
        <v>313</v>
      </c>
      <c r="D1547" s="2">
        <v>60</v>
      </c>
      <c r="E1547" s="2">
        <v>80</v>
      </c>
      <c r="F1547" s="2">
        <v>2</v>
      </c>
      <c r="G1547" s="2">
        <v>1</v>
      </c>
      <c r="H1547" s="2">
        <v>5</v>
      </c>
      <c r="I1547" s="2">
        <v>0</v>
      </c>
      <c r="J1547" t="str">
        <f>_xlfn.XLOOKUP(Table2[[#This Row],[Customer_ID]],Table1[Customer_ID],Table1[Customer_Name])</f>
        <v>Janetta Jhonson</v>
      </c>
    </row>
    <row r="1548" spans="1:10" x14ac:dyDescent="0.35">
      <c r="A1548" s="4">
        <v>40779</v>
      </c>
      <c r="B1548" s="2">
        <v>10609</v>
      </c>
      <c r="C1548" s="2">
        <v>349</v>
      </c>
      <c r="D1548" s="2">
        <v>62</v>
      </c>
      <c r="E1548" s="2">
        <v>53</v>
      </c>
      <c r="F1548" s="2">
        <v>2</v>
      </c>
      <c r="G1548" s="2">
        <v>3</v>
      </c>
      <c r="H1548" s="2">
        <v>7</v>
      </c>
      <c r="I1548" s="2">
        <v>0</v>
      </c>
      <c r="J1548" t="str">
        <f>_xlfn.XLOOKUP(Table2[[#This Row],[Customer_ID]],Table1[Customer_ID],Table1[Customer_Name])</f>
        <v>Jeanine Chavez</v>
      </c>
    </row>
    <row r="1549" spans="1:10" x14ac:dyDescent="0.35">
      <c r="A1549" s="4">
        <v>40779</v>
      </c>
      <c r="B1549" s="2">
        <v>10609</v>
      </c>
      <c r="C1549" s="2">
        <v>263</v>
      </c>
      <c r="D1549" s="2">
        <v>62</v>
      </c>
      <c r="E1549" s="2">
        <v>53</v>
      </c>
      <c r="F1549" s="2">
        <v>2</v>
      </c>
      <c r="G1549" s="2">
        <v>2</v>
      </c>
      <c r="H1549" s="2">
        <v>3</v>
      </c>
      <c r="I1549" s="2">
        <v>0</v>
      </c>
      <c r="J1549" t="str">
        <f>_xlfn.XLOOKUP(Table2[[#This Row],[Customer_ID]],Table1[Customer_ID],Table1[Customer_Name])</f>
        <v>Jeanine Chavez</v>
      </c>
    </row>
    <row r="1550" spans="1:10" x14ac:dyDescent="0.35">
      <c r="A1550" s="4">
        <v>40779</v>
      </c>
      <c r="B1550" s="2">
        <v>10609</v>
      </c>
      <c r="C1550" s="2">
        <v>401</v>
      </c>
      <c r="D1550" s="2">
        <v>62</v>
      </c>
      <c r="E1550" s="2">
        <v>53</v>
      </c>
      <c r="F1550" s="2">
        <v>2</v>
      </c>
      <c r="G1550" s="2">
        <v>6</v>
      </c>
      <c r="H1550" s="2">
        <v>13</v>
      </c>
      <c r="I1550" s="2">
        <v>0</v>
      </c>
      <c r="J1550" t="str">
        <f>_xlfn.XLOOKUP(Table2[[#This Row],[Customer_ID]],Table1[Customer_ID],Table1[Customer_Name])</f>
        <v>Jeanine Chavez</v>
      </c>
    </row>
    <row r="1551" spans="1:10" x14ac:dyDescent="0.35">
      <c r="A1551" s="4">
        <v>40780</v>
      </c>
      <c r="B1551" s="2">
        <v>10611</v>
      </c>
      <c r="C1551" s="2">
        <v>323</v>
      </c>
      <c r="D1551" s="2">
        <v>64</v>
      </c>
      <c r="E1551" s="2">
        <v>9</v>
      </c>
      <c r="F1551" s="2">
        <v>2</v>
      </c>
      <c r="G1551" s="2">
        <v>5</v>
      </c>
      <c r="H1551" s="2">
        <v>7</v>
      </c>
      <c r="I1551" s="2">
        <v>0</v>
      </c>
      <c r="J1551" t="str">
        <f>_xlfn.XLOOKUP(Table2[[#This Row],[Customer_ID]],Table1[Customer_ID],Table1[Customer_Name])</f>
        <v>Josephine Escoto</v>
      </c>
    </row>
    <row r="1552" spans="1:10" x14ac:dyDescent="0.35">
      <c r="A1552" s="4">
        <v>40780</v>
      </c>
      <c r="B1552" s="2">
        <v>10611</v>
      </c>
      <c r="C1552" s="2">
        <v>37</v>
      </c>
      <c r="D1552" s="2">
        <v>64</v>
      </c>
      <c r="E1552" s="2">
        <v>9</v>
      </c>
      <c r="F1552" s="2">
        <v>2</v>
      </c>
      <c r="G1552" s="2">
        <v>3</v>
      </c>
      <c r="H1552" s="2">
        <v>11</v>
      </c>
      <c r="I1552" s="2">
        <v>0</v>
      </c>
      <c r="J1552" t="str">
        <f>_xlfn.XLOOKUP(Table2[[#This Row],[Customer_ID]],Table1[Customer_ID],Table1[Customer_Name])</f>
        <v>Josephine Escoto</v>
      </c>
    </row>
    <row r="1553" spans="1:10" x14ac:dyDescent="0.35">
      <c r="A1553" s="4">
        <v>40780</v>
      </c>
      <c r="B1553" s="2">
        <v>10611</v>
      </c>
      <c r="C1553" s="2">
        <v>44</v>
      </c>
      <c r="D1553" s="2">
        <v>64</v>
      </c>
      <c r="E1553" s="2">
        <v>9</v>
      </c>
      <c r="F1553" s="2">
        <v>2</v>
      </c>
      <c r="G1553" s="2">
        <v>5</v>
      </c>
      <c r="H1553" s="2">
        <v>14</v>
      </c>
      <c r="I1553" s="2">
        <v>0</v>
      </c>
      <c r="J1553" t="str">
        <f>_xlfn.XLOOKUP(Table2[[#This Row],[Customer_ID]],Table1[Customer_ID],Table1[Customer_Name])</f>
        <v>Josephine Escoto</v>
      </c>
    </row>
    <row r="1554" spans="1:10" x14ac:dyDescent="0.35">
      <c r="A1554" s="4">
        <v>40784</v>
      </c>
      <c r="B1554" s="2">
        <v>10613</v>
      </c>
      <c r="C1554" s="2">
        <v>151</v>
      </c>
      <c r="D1554" s="2">
        <v>66</v>
      </c>
      <c r="E1554" s="2">
        <v>37</v>
      </c>
      <c r="F1554" s="2">
        <v>2</v>
      </c>
      <c r="G1554" s="2">
        <v>2</v>
      </c>
      <c r="H1554" s="2">
        <v>526</v>
      </c>
      <c r="I1554" s="2">
        <v>0</v>
      </c>
      <c r="J1554" t="str">
        <f>_xlfn.XLOOKUP(Table2[[#This Row],[Customer_ID]],Table1[Customer_ID],Table1[Customer_Name])</f>
        <v>Julieta Hard</v>
      </c>
    </row>
    <row r="1555" spans="1:10" x14ac:dyDescent="0.35">
      <c r="A1555" s="4">
        <v>40784</v>
      </c>
      <c r="B1555" s="2">
        <v>10613</v>
      </c>
      <c r="C1555" s="2">
        <v>67</v>
      </c>
      <c r="D1555" s="2">
        <v>66</v>
      </c>
      <c r="E1555" s="2">
        <v>37</v>
      </c>
      <c r="F1555" s="2">
        <v>2</v>
      </c>
      <c r="G1555" s="2">
        <v>7</v>
      </c>
      <c r="H1555" s="2">
        <v>8</v>
      </c>
      <c r="I1555" s="2">
        <v>0</v>
      </c>
      <c r="J1555" t="str">
        <f>_xlfn.XLOOKUP(Table2[[#This Row],[Customer_ID]],Table1[Customer_ID],Table1[Customer_Name])</f>
        <v>Julieta Hard</v>
      </c>
    </row>
    <row r="1556" spans="1:10" x14ac:dyDescent="0.35">
      <c r="A1556" s="4">
        <v>40785</v>
      </c>
      <c r="B1556" s="2">
        <v>10615</v>
      </c>
      <c r="C1556" s="2">
        <v>157</v>
      </c>
      <c r="D1556" s="2">
        <v>68</v>
      </c>
      <c r="E1556" s="2">
        <v>39</v>
      </c>
      <c r="F1556" s="2">
        <v>2</v>
      </c>
      <c r="G1556" s="2">
        <v>2</v>
      </c>
      <c r="H1556" s="2">
        <v>1297</v>
      </c>
      <c r="I1556" s="2">
        <v>0</v>
      </c>
      <c r="J1556" t="str">
        <f>_xlfn.XLOOKUP(Table2[[#This Row],[Customer_ID]],Table1[Customer_ID],Table1[Customer_Name])</f>
        <v>Kandy Tully</v>
      </c>
    </row>
    <row r="1557" spans="1:10" x14ac:dyDescent="0.35">
      <c r="A1557" s="4">
        <v>40786</v>
      </c>
      <c r="B1557" s="2">
        <v>10617</v>
      </c>
      <c r="C1557" s="2">
        <v>215</v>
      </c>
      <c r="D1557" s="2">
        <v>70</v>
      </c>
      <c r="E1557" s="2">
        <v>44</v>
      </c>
      <c r="F1557" s="2">
        <v>2</v>
      </c>
      <c r="G1557" s="2">
        <v>7</v>
      </c>
      <c r="H1557" s="2">
        <v>6</v>
      </c>
      <c r="I1557" s="2">
        <v>0</v>
      </c>
      <c r="J1557" t="str">
        <f>_xlfn.XLOOKUP(Table2[[#This Row],[Customer_ID]],Table1[Customer_ID],Table1[Customer_Name])</f>
        <v>Karina Lisle</v>
      </c>
    </row>
    <row r="1558" spans="1:10" x14ac:dyDescent="0.35">
      <c r="A1558" s="4">
        <v>40790</v>
      </c>
      <c r="B1558" s="2">
        <v>10619</v>
      </c>
      <c r="C1558" s="2">
        <v>385</v>
      </c>
      <c r="D1558" s="2">
        <v>72</v>
      </c>
      <c r="E1558" s="2">
        <v>38</v>
      </c>
      <c r="F1558" s="2">
        <v>2</v>
      </c>
      <c r="G1558" s="2">
        <v>3</v>
      </c>
      <c r="H1558" s="2">
        <v>8</v>
      </c>
      <c r="I1558" s="2">
        <v>0</v>
      </c>
      <c r="J1558" t="str">
        <f>_xlfn.XLOOKUP(Table2[[#This Row],[Customer_ID]],Table1[Customer_ID],Table1[Customer_Name])</f>
        <v>Karla Munoz</v>
      </c>
    </row>
    <row r="1559" spans="1:10" x14ac:dyDescent="0.35">
      <c r="A1559" s="4">
        <v>40790</v>
      </c>
      <c r="B1559" s="2">
        <v>10619</v>
      </c>
      <c r="C1559" s="2">
        <v>315</v>
      </c>
      <c r="D1559" s="2">
        <v>72</v>
      </c>
      <c r="E1559" s="2">
        <v>38</v>
      </c>
      <c r="F1559" s="2">
        <v>2</v>
      </c>
      <c r="G1559" s="2">
        <v>2</v>
      </c>
      <c r="H1559" s="2">
        <v>7</v>
      </c>
      <c r="I1559" s="2">
        <v>0</v>
      </c>
      <c r="J1559" t="str">
        <f>_xlfn.XLOOKUP(Table2[[#This Row],[Customer_ID]],Table1[Customer_ID],Table1[Customer_Name])</f>
        <v>Karla Munoz</v>
      </c>
    </row>
    <row r="1560" spans="1:10" x14ac:dyDescent="0.35">
      <c r="A1560" s="4">
        <v>40791</v>
      </c>
      <c r="B1560" s="2">
        <v>10621</v>
      </c>
      <c r="C1560" s="2">
        <v>364</v>
      </c>
      <c r="D1560" s="2">
        <v>74</v>
      </c>
      <c r="F1560" s="2">
        <v>2</v>
      </c>
      <c r="G1560" s="2">
        <v>3</v>
      </c>
      <c r="H1560" s="2">
        <v>6</v>
      </c>
      <c r="I1560" s="2">
        <v>0</v>
      </c>
      <c r="J1560" t="str">
        <f>_xlfn.XLOOKUP(Table2[[#This Row],[Customer_ID]],Table1[Customer_ID],Table1[Customer_Name])</f>
        <v>Kazuko Serrato</v>
      </c>
    </row>
    <row r="1561" spans="1:10" x14ac:dyDescent="0.35">
      <c r="A1561" s="4">
        <v>40791</v>
      </c>
      <c r="B1561" s="2">
        <v>10621</v>
      </c>
      <c r="C1561" s="2">
        <v>95</v>
      </c>
      <c r="D1561" s="2">
        <v>74</v>
      </c>
      <c r="F1561" s="2">
        <v>2</v>
      </c>
      <c r="G1561" s="2">
        <v>2</v>
      </c>
      <c r="H1561" s="2">
        <v>895</v>
      </c>
      <c r="I1561" s="2">
        <v>0</v>
      </c>
      <c r="J1561" t="str">
        <f>_xlfn.XLOOKUP(Table2[[#This Row],[Customer_ID]],Table1[Customer_ID],Table1[Customer_Name])</f>
        <v>Kazuko Serrato</v>
      </c>
    </row>
    <row r="1562" spans="1:10" x14ac:dyDescent="0.35">
      <c r="A1562" s="4">
        <v>40791</v>
      </c>
      <c r="B1562" s="2">
        <v>10621</v>
      </c>
      <c r="C1562" s="2">
        <v>317</v>
      </c>
      <c r="D1562" s="2">
        <v>74</v>
      </c>
      <c r="F1562" s="2">
        <v>2</v>
      </c>
      <c r="G1562" s="2">
        <v>2</v>
      </c>
      <c r="H1562" s="2">
        <v>45</v>
      </c>
      <c r="I1562" s="2">
        <v>0</v>
      </c>
      <c r="J1562" t="str">
        <f>_xlfn.XLOOKUP(Table2[[#This Row],[Customer_ID]],Table1[Customer_ID],Table1[Customer_Name])</f>
        <v>Kazuko Serrato</v>
      </c>
    </row>
    <row r="1563" spans="1:10" x14ac:dyDescent="0.35">
      <c r="A1563" s="4">
        <v>40791</v>
      </c>
      <c r="B1563" s="2">
        <v>10621</v>
      </c>
      <c r="C1563" s="2">
        <v>90</v>
      </c>
      <c r="D1563" s="2">
        <v>74</v>
      </c>
      <c r="F1563" s="2">
        <v>2</v>
      </c>
      <c r="G1563" s="2">
        <v>1</v>
      </c>
      <c r="H1563" s="2">
        <v>670</v>
      </c>
      <c r="I1563" s="2">
        <v>0</v>
      </c>
      <c r="J1563" t="str">
        <f>_xlfn.XLOOKUP(Table2[[#This Row],[Customer_ID]],Table1[Customer_ID],Table1[Customer_Name])</f>
        <v>Kazuko Serrato</v>
      </c>
    </row>
    <row r="1564" spans="1:10" x14ac:dyDescent="0.35">
      <c r="A1564" s="4">
        <v>40793</v>
      </c>
      <c r="B1564" s="2">
        <v>10623</v>
      </c>
      <c r="C1564" s="2">
        <v>96</v>
      </c>
      <c r="D1564" s="2">
        <v>76</v>
      </c>
      <c r="F1564" s="2">
        <v>2</v>
      </c>
      <c r="G1564" s="2">
        <v>1</v>
      </c>
      <c r="H1564" s="2">
        <v>904</v>
      </c>
      <c r="I1564" s="2">
        <v>0</v>
      </c>
      <c r="J1564" t="str">
        <f>_xlfn.XLOOKUP(Table2[[#This Row],[Customer_ID]],Table1[Customer_ID],Table1[Customer_Name])</f>
        <v>Khalilah Demaria</v>
      </c>
    </row>
    <row r="1565" spans="1:10" x14ac:dyDescent="0.35">
      <c r="A1565" s="4">
        <v>40793</v>
      </c>
      <c r="B1565" s="2">
        <v>10623</v>
      </c>
      <c r="C1565" s="2">
        <v>89</v>
      </c>
      <c r="D1565" s="2">
        <v>76</v>
      </c>
      <c r="F1565" s="2">
        <v>2</v>
      </c>
      <c r="G1565" s="2">
        <v>5</v>
      </c>
      <c r="H1565" s="2">
        <v>543</v>
      </c>
      <c r="I1565" s="2">
        <v>0</v>
      </c>
      <c r="J1565" t="str">
        <f>_xlfn.XLOOKUP(Table2[[#This Row],[Customer_ID]],Table1[Customer_ID],Table1[Customer_Name])</f>
        <v>Khalilah Demaria</v>
      </c>
    </row>
    <row r="1566" spans="1:10" x14ac:dyDescent="0.35">
      <c r="A1566" s="4">
        <v>40793</v>
      </c>
      <c r="B1566" s="2">
        <v>10623</v>
      </c>
      <c r="C1566" s="2">
        <v>97</v>
      </c>
      <c r="D1566" s="2">
        <v>76</v>
      </c>
      <c r="F1566" s="2">
        <v>2</v>
      </c>
      <c r="G1566" s="2">
        <v>3</v>
      </c>
      <c r="H1566" s="2">
        <v>888</v>
      </c>
      <c r="I1566" s="2">
        <v>0</v>
      </c>
      <c r="J1566" t="str">
        <f>_xlfn.XLOOKUP(Table2[[#This Row],[Customer_ID]],Table1[Customer_ID],Table1[Customer_Name])</f>
        <v>Khalilah Demaria</v>
      </c>
    </row>
    <row r="1567" spans="1:10" x14ac:dyDescent="0.35">
      <c r="A1567" s="4">
        <v>40793</v>
      </c>
      <c r="B1567" s="2">
        <v>10623</v>
      </c>
      <c r="C1567" s="2">
        <v>100</v>
      </c>
      <c r="D1567" s="2">
        <v>76</v>
      </c>
      <c r="F1567" s="2">
        <v>2</v>
      </c>
      <c r="G1567" s="2">
        <v>2</v>
      </c>
      <c r="H1567" s="2">
        <v>1577</v>
      </c>
      <c r="I1567" s="2">
        <v>0</v>
      </c>
      <c r="J1567" t="str">
        <f>_xlfn.XLOOKUP(Table2[[#This Row],[Customer_ID]],Table1[Customer_ID],Table1[Customer_Name])</f>
        <v>Khalilah Demaria</v>
      </c>
    </row>
    <row r="1568" spans="1:10" x14ac:dyDescent="0.35">
      <c r="A1568" s="4">
        <v>40793</v>
      </c>
      <c r="B1568" s="2">
        <v>10623</v>
      </c>
      <c r="C1568" s="2">
        <v>92</v>
      </c>
      <c r="D1568" s="2">
        <v>76</v>
      </c>
      <c r="F1568" s="2">
        <v>2</v>
      </c>
      <c r="G1568" s="2">
        <v>2</v>
      </c>
      <c r="H1568" s="2">
        <v>632</v>
      </c>
      <c r="I1568" s="2">
        <v>0</v>
      </c>
      <c r="J1568" t="str">
        <f>_xlfn.XLOOKUP(Table2[[#This Row],[Customer_ID]],Table1[Customer_ID],Table1[Customer_Name])</f>
        <v>Khalilah Demaria</v>
      </c>
    </row>
    <row r="1569" spans="1:10" x14ac:dyDescent="0.35">
      <c r="A1569" s="4">
        <v>40794</v>
      </c>
      <c r="B1569" s="2">
        <v>10625</v>
      </c>
      <c r="C1569" s="2">
        <v>98</v>
      </c>
      <c r="D1569" s="2">
        <v>78</v>
      </c>
      <c r="F1569" s="2">
        <v>2</v>
      </c>
      <c r="G1569" s="2">
        <v>1</v>
      </c>
      <c r="H1569" s="2">
        <v>1859</v>
      </c>
      <c r="I1569" s="2">
        <v>0</v>
      </c>
      <c r="J1569" t="str">
        <f>_xlfn.XLOOKUP(Table2[[#This Row],[Customer_ID]],Table1[Customer_ID],Table1[Customer_Name])</f>
        <v>Lacey Rollison</v>
      </c>
    </row>
    <row r="1570" spans="1:10" x14ac:dyDescent="0.35">
      <c r="A1570" s="4">
        <v>40794</v>
      </c>
      <c r="B1570" s="2">
        <v>10625</v>
      </c>
      <c r="C1570" s="2">
        <v>99</v>
      </c>
      <c r="D1570" s="2">
        <v>78</v>
      </c>
      <c r="F1570" s="2">
        <v>2</v>
      </c>
      <c r="G1570" s="2">
        <v>1</v>
      </c>
      <c r="H1570" s="2">
        <v>1611</v>
      </c>
      <c r="I1570" s="2">
        <v>0</v>
      </c>
      <c r="J1570" t="str">
        <f>_xlfn.XLOOKUP(Table2[[#This Row],[Customer_ID]],Table1[Customer_ID],Table1[Customer_Name])</f>
        <v>Lacey Rollison</v>
      </c>
    </row>
    <row r="1571" spans="1:10" x14ac:dyDescent="0.35">
      <c r="A1571" s="4">
        <v>40794</v>
      </c>
      <c r="B1571" s="2">
        <v>10625</v>
      </c>
      <c r="C1571" s="2">
        <v>440</v>
      </c>
      <c r="D1571" s="2">
        <v>78</v>
      </c>
      <c r="F1571" s="2">
        <v>2</v>
      </c>
      <c r="G1571" s="2">
        <v>7</v>
      </c>
      <c r="H1571" s="2">
        <v>38</v>
      </c>
      <c r="I1571" s="2">
        <v>0</v>
      </c>
      <c r="J1571" t="str">
        <f>_xlfn.XLOOKUP(Table2[[#This Row],[Customer_ID]],Table1[Customer_ID],Table1[Customer_Name])</f>
        <v>Lacey Rollison</v>
      </c>
    </row>
    <row r="1572" spans="1:10" x14ac:dyDescent="0.35">
      <c r="A1572" s="4">
        <v>40797</v>
      </c>
      <c r="B1572" s="2">
        <v>10627</v>
      </c>
      <c r="C1572" s="2">
        <v>420</v>
      </c>
      <c r="D1572" s="2">
        <v>80</v>
      </c>
      <c r="F1572" s="2">
        <v>2</v>
      </c>
      <c r="G1572" s="2">
        <v>3</v>
      </c>
      <c r="H1572" s="2">
        <v>17</v>
      </c>
      <c r="I1572" s="2">
        <v>0</v>
      </c>
      <c r="J1572" t="str">
        <f>_xlfn.XLOOKUP(Table2[[#This Row],[Customer_ID]],Table1[Customer_ID],Table1[Customer_Name])</f>
        <v>Lashaunda Mynatt</v>
      </c>
    </row>
    <row r="1573" spans="1:10" x14ac:dyDescent="0.35">
      <c r="A1573" s="4">
        <v>40797</v>
      </c>
      <c r="B1573" s="2">
        <v>10627</v>
      </c>
      <c r="C1573" s="2">
        <v>452</v>
      </c>
      <c r="D1573" s="2">
        <v>80</v>
      </c>
      <c r="F1573" s="2">
        <v>2</v>
      </c>
      <c r="G1573" s="2">
        <v>2</v>
      </c>
      <c r="H1573" s="2">
        <v>24</v>
      </c>
      <c r="I1573" s="2">
        <v>0</v>
      </c>
      <c r="J1573" t="str">
        <f>_xlfn.XLOOKUP(Table2[[#This Row],[Customer_ID]],Table1[Customer_ID],Table1[Customer_Name])</f>
        <v>Lashaunda Mynatt</v>
      </c>
    </row>
    <row r="1574" spans="1:10" x14ac:dyDescent="0.35">
      <c r="A1574" s="4">
        <v>40798</v>
      </c>
      <c r="B1574" s="2">
        <v>10629</v>
      </c>
      <c r="C1574" s="2">
        <v>455</v>
      </c>
      <c r="D1574" s="2">
        <v>82</v>
      </c>
      <c r="F1574" s="2">
        <v>2</v>
      </c>
      <c r="G1574" s="2">
        <v>4</v>
      </c>
      <c r="H1574" s="2">
        <v>20</v>
      </c>
      <c r="I1574" s="2">
        <v>0</v>
      </c>
      <c r="J1574" t="str">
        <f>_xlfn.XLOOKUP(Table2[[#This Row],[Customer_ID]],Table1[Customer_ID],Table1[Customer_Name])</f>
        <v>Lesley Rue</v>
      </c>
    </row>
    <row r="1575" spans="1:10" x14ac:dyDescent="0.35">
      <c r="A1575" s="4">
        <v>40798</v>
      </c>
      <c r="B1575" s="2">
        <v>10629</v>
      </c>
      <c r="C1575" s="2">
        <v>427</v>
      </c>
      <c r="D1575" s="2">
        <v>82</v>
      </c>
      <c r="F1575" s="2">
        <v>2</v>
      </c>
      <c r="G1575" s="2">
        <v>3</v>
      </c>
      <c r="H1575" s="2">
        <v>18</v>
      </c>
      <c r="I1575" s="2">
        <v>0</v>
      </c>
      <c r="J1575" t="str">
        <f>_xlfn.XLOOKUP(Table2[[#This Row],[Customer_ID]],Table1[Customer_ID],Table1[Customer_Name])</f>
        <v>Lesley Rue</v>
      </c>
    </row>
    <row r="1576" spans="1:10" x14ac:dyDescent="0.35">
      <c r="A1576" s="4">
        <v>40800</v>
      </c>
      <c r="B1576" s="2">
        <v>10631</v>
      </c>
      <c r="C1576" s="2">
        <v>251</v>
      </c>
      <c r="D1576" s="2">
        <v>84</v>
      </c>
      <c r="F1576" s="2">
        <v>2</v>
      </c>
      <c r="G1576" s="2">
        <v>5</v>
      </c>
      <c r="H1576" s="2">
        <v>25</v>
      </c>
      <c r="I1576" s="2">
        <v>0</v>
      </c>
      <c r="J1576" t="str">
        <f>_xlfn.XLOOKUP(Table2[[#This Row],[Customer_ID]],Table1[Customer_ID],Table1[Customer_Name])</f>
        <v>Linn Muncy</v>
      </c>
    </row>
    <row r="1577" spans="1:10" x14ac:dyDescent="0.35">
      <c r="A1577" s="4">
        <v>40801</v>
      </c>
      <c r="B1577" s="2">
        <v>10633</v>
      </c>
      <c r="C1577" s="2">
        <v>60</v>
      </c>
      <c r="D1577" s="2">
        <v>86</v>
      </c>
      <c r="F1577" s="2">
        <v>2</v>
      </c>
      <c r="G1577" s="2">
        <v>1</v>
      </c>
      <c r="H1577" s="2">
        <v>4</v>
      </c>
      <c r="I1577" s="2">
        <v>0</v>
      </c>
      <c r="J1577" t="str">
        <f>_xlfn.XLOOKUP(Table2[[#This Row],[Customer_ID]],Table1[Customer_ID],Table1[Customer_Name])</f>
        <v>Louann Luck</v>
      </c>
    </row>
    <row r="1578" spans="1:10" x14ac:dyDescent="0.35">
      <c r="A1578" s="4">
        <v>40801</v>
      </c>
      <c r="B1578" s="2">
        <v>10633</v>
      </c>
      <c r="C1578" s="2">
        <v>64</v>
      </c>
      <c r="D1578" s="2">
        <v>86</v>
      </c>
      <c r="F1578" s="2">
        <v>2</v>
      </c>
      <c r="G1578" s="2">
        <v>6</v>
      </c>
      <c r="H1578" s="2">
        <v>6</v>
      </c>
      <c r="I1578" s="2">
        <v>0</v>
      </c>
      <c r="J1578" t="str">
        <f>_xlfn.XLOOKUP(Table2[[#This Row],[Customer_ID]],Table1[Customer_ID],Table1[Customer_Name])</f>
        <v>Louann Luck</v>
      </c>
    </row>
    <row r="1579" spans="1:10" x14ac:dyDescent="0.35">
      <c r="A1579" s="4">
        <v>40801</v>
      </c>
      <c r="B1579" s="2">
        <v>10633</v>
      </c>
      <c r="C1579" s="2">
        <v>61</v>
      </c>
      <c r="D1579" s="2">
        <v>86</v>
      </c>
      <c r="F1579" s="2">
        <v>2</v>
      </c>
      <c r="G1579" s="2">
        <v>2</v>
      </c>
      <c r="H1579" s="2">
        <v>4</v>
      </c>
      <c r="I1579" s="2">
        <v>0</v>
      </c>
      <c r="J1579" t="str">
        <f>_xlfn.XLOOKUP(Table2[[#This Row],[Customer_ID]],Table1[Customer_ID],Table1[Customer_Name])</f>
        <v>Louann Luck</v>
      </c>
    </row>
    <row r="1580" spans="1:10" x14ac:dyDescent="0.35">
      <c r="A1580" s="4">
        <v>40801</v>
      </c>
      <c r="B1580" s="2">
        <v>10633</v>
      </c>
      <c r="C1580" s="2">
        <v>368</v>
      </c>
      <c r="D1580" s="2">
        <v>86</v>
      </c>
      <c r="F1580" s="2">
        <v>2</v>
      </c>
      <c r="G1580" s="2">
        <v>2</v>
      </c>
      <c r="H1580" s="2">
        <v>6</v>
      </c>
      <c r="I1580" s="2">
        <v>0</v>
      </c>
      <c r="J1580" t="str">
        <f>_xlfn.XLOOKUP(Table2[[#This Row],[Customer_ID]],Table1[Customer_ID],Table1[Customer_Name])</f>
        <v>Louann Luck</v>
      </c>
    </row>
    <row r="1581" spans="1:10" x14ac:dyDescent="0.35">
      <c r="A1581" s="4">
        <v>40804</v>
      </c>
      <c r="B1581" s="2">
        <v>10635</v>
      </c>
      <c r="C1581" s="2">
        <v>443</v>
      </c>
      <c r="D1581" s="2">
        <v>88</v>
      </c>
      <c r="F1581" s="2">
        <v>2</v>
      </c>
      <c r="G1581" s="2">
        <v>2</v>
      </c>
      <c r="H1581" s="2">
        <v>19</v>
      </c>
      <c r="I1581" s="2">
        <v>0</v>
      </c>
      <c r="J1581" t="str">
        <f>_xlfn.XLOOKUP(Table2[[#This Row],[Customer_ID]],Table1[Customer_ID],Table1[Customer_Name])</f>
        <v>Marlene Daniell</v>
      </c>
    </row>
    <row r="1582" spans="1:10" x14ac:dyDescent="0.35">
      <c r="A1582" s="4">
        <v>40804</v>
      </c>
      <c r="B1582" s="2">
        <v>10635</v>
      </c>
      <c r="C1582" s="2">
        <v>54</v>
      </c>
      <c r="D1582" s="2">
        <v>88</v>
      </c>
      <c r="F1582" s="2">
        <v>2</v>
      </c>
      <c r="G1582" s="2">
        <v>1</v>
      </c>
      <c r="H1582" s="2">
        <v>41</v>
      </c>
      <c r="I1582" s="2">
        <v>0</v>
      </c>
      <c r="J1582" t="str">
        <f>_xlfn.XLOOKUP(Table2[[#This Row],[Customer_ID]],Table1[Customer_ID],Table1[Customer_Name])</f>
        <v>Marlene Daniell</v>
      </c>
    </row>
    <row r="1583" spans="1:10" x14ac:dyDescent="0.35">
      <c r="A1583" s="4">
        <v>40804</v>
      </c>
      <c r="B1583" s="2">
        <v>10635</v>
      </c>
      <c r="C1583" s="2">
        <v>55</v>
      </c>
      <c r="D1583" s="2">
        <v>88</v>
      </c>
      <c r="F1583" s="2">
        <v>2</v>
      </c>
      <c r="G1583" s="2">
        <v>1</v>
      </c>
      <c r="H1583" s="2">
        <v>20</v>
      </c>
      <c r="I1583" s="2">
        <v>0</v>
      </c>
      <c r="J1583" t="str">
        <f>_xlfn.XLOOKUP(Table2[[#This Row],[Customer_ID]],Table1[Customer_ID],Table1[Customer_Name])</f>
        <v>Marlene Daniell</v>
      </c>
    </row>
    <row r="1584" spans="1:10" x14ac:dyDescent="0.35">
      <c r="A1584" s="4">
        <v>40805</v>
      </c>
      <c r="B1584" s="2">
        <v>10637</v>
      </c>
      <c r="C1584" s="2">
        <v>437</v>
      </c>
      <c r="D1584" s="2">
        <v>90</v>
      </c>
      <c r="F1584" s="2">
        <v>2</v>
      </c>
      <c r="G1584" s="2">
        <v>6</v>
      </c>
      <c r="H1584" s="2">
        <v>12</v>
      </c>
      <c r="I1584" s="2">
        <v>0</v>
      </c>
      <c r="J1584" t="str">
        <f>_xlfn.XLOOKUP(Table2[[#This Row],[Customer_ID]],Table1[Customer_ID],Table1[Customer_Name])</f>
        <v>Maxwell Wengert</v>
      </c>
    </row>
    <row r="1585" spans="1:10" x14ac:dyDescent="0.35">
      <c r="A1585" s="4">
        <v>40805</v>
      </c>
      <c r="B1585" s="2">
        <v>10637</v>
      </c>
      <c r="C1585" s="2">
        <v>416</v>
      </c>
      <c r="D1585" s="2">
        <v>90</v>
      </c>
      <c r="F1585" s="2">
        <v>2</v>
      </c>
      <c r="G1585" s="2">
        <v>1</v>
      </c>
      <c r="H1585" s="2">
        <v>14</v>
      </c>
      <c r="I1585" s="2">
        <v>0</v>
      </c>
      <c r="J1585" t="str">
        <f>_xlfn.XLOOKUP(Table2[[#This Row],[Customer_ID]],Table1[Customer_ID],Table1[Customer_Name])</f>
        <v>Maxwell Wengert</v>
      </c>
    </row>
    <row r="1586" spans="1:10" x14ac:dyDescent="0.35">
      <c r="A1586" s="4">
        <v>40805</v>
      </c>
      <c r="B1586" s="2">
        <v>10637</v>
      </c>
      <c r="C1586" s="2">
        <v>411</v>
      </c>
      <c r="D1586" s="2">
        <v>90</v>
      </c>
      <c r="F1586" s="2">
        <v>2</v>
      </c>
      <c r="G1586" s="2">
        <v>7</v>
      </c>
      <c r="H1586" s="2">
        <v>16</v>
      </c>
      <c r="I1586" s="2">
        <v>0</v>
      </c>
      <c r="J1586" t="str">
        <f>_xlfn.XLOOKUP(Table2[[#This Row],[Customer_ID]],Table1[Customer_ID],Table1[Customer_Name])</f>
        <v>Maxwell Wengert</v>
      </c>
    </row>
    <row r="1587" spans="1:10" x14ac:dyDescent="0.35">
      <c r="A1587" s="4">
        <v>40806</v>
      </c>
      <c r="B1587" s="2">
        <v>10639</v>
      </c>
      <c r="C1587" s="2">
        <v>371</v>
      </c>
      <c r="D1587" s="2">
        <v>92</v>
      </c>
      <c r="F1587" s="2">
        <v>2</v>
      </c>
      <c r="G1587" s="2">
        <v>2</v>
      </c>
      <c r="H1587" s="2">
        <v>7</v>
      </c>
      <c r="I1587" s="2">
        <v>0</v>
      </c>
      <c r="J1587" t="str">
        <f>_xlfn.XLOOKUP(Table2[[#This Row],[Customer_ID]],Table1[Customer_ID],Table1[Customer_Name])</f>
        <v>Mercedes Godin</v>
      </c>
    </row>
    <row r="1588" spans="1:10" x14ac:dyDescent="0.35">
      <c r="A1588" s="4">
        <v>40808</v>
      </c>
      <c r="B1588" s="2">
        <v>10641</v>
      </c>
      <c r="C1588" s="2">
        <v>419</v>
      </c>
      <c r="D1588" s="2">
        <v>94</v>
      </c>
      <c r="F1588" s="2">
        <v>2</v>
      </c>
      <c r="G1588" s="2">
        <v>7</v>
      </c>
      <c r="H1588" s="2">
        <v>13</v>
      </c>
      <c r="I1588" s="2">
        <v>0</v>
      </c>
      <c r="J1588" t="str">
        <f>_xlfn.XLOOKUP(Table2[[#This Row],[Customer_ID]],Table1[Customer_ID],Table1[Customer_Name])</f>
        <v>Michelina Manners</v>
      </c>
    </row>
    <row r="1589" spans="1:10" x14ac:dyDescent="0.35">
      <c r="A1589" s="4">
        <v>40808</v>
      </c>
      <c r="B1589" s="2">
        <v>10641</v>
      </c>
      <c r="C1589" s="2">
        <v>454</v>
      </c>
      <c r="D1589" s="2">
        <v>94</v>
      </c>
      <c r="F1589" s="2">
        <v>2</v>
      </c>
      <c r="G1589" s="2">
        <v>8</v>
      </c>
      <c r="H1589" s="2">
        <v>22</v>
      </c>
      <c r="I1589" s="2">
        <v>0</v>
      </c>
      <c r="J1589" t="str">
        <f>_xlfn.XLOOKUP(Table2[[#This Row],[Customer_ID]],Table1[Customer_ID],Table1[Customer_Name])</f>
        <v>Michelina Manners</v>
      </c>
    </row>
    <row r="1590" spans="1:10" x14ac:dyDescent="0.35">
      <c r="A1590" s="4">
        <v>40811</v>
      </c>
      <c r="B1590" s="2">
        <v>10643</v>
      </c>
      <c r="C1590" s="2">
        <v>205</v>
      </c>
      <c r="D1590" s="2">
        <v>96</v>
      </c>
      <c r="F1590" s="2">
        <v>2</v>
      </c>
      <c r="G1590" s="2">
        <v>2</v>
      </c>
      <c r="H1590" s="2">
        <v>9</v>
      </c>
      <c r="I1590" s="2">
        <v>0</v>
      </c>
      <c r="J1590" t="str">
        <f>_xlfn.XLOOKUP(Table2[[#This Row],[Customer_ID]],Table1[Customer_ID],Table1[Customer_Name])</f>
        <v>Miss Henslee</v>
      </c>
    </row>
    <row r="1591" spans="1:10" x14ac:dyDescent="0.35">
      <c r="A1591" s="4">
        <v>40811</v>
      </c>
      <c r="B1591" s="2">
        <v>10643</v>
      </c>
      <c r="C1591" s="2">
        <v>204</v>
      </c>
      <c r="D1591" s="2">
        <v>96</v>
      </c>
      <c r="F1591" s="2">
        <v>2</v>
      </c>
      <c r="G1591" s="2">
        <v>1</v>
      </c>
      <c r="H1591" s="2">
        <v>9</v>
      </c>
      <c r="I1591" s="2">
        <v>0</v>
      </c>
      <c r="J1591" t="str">
        <f>_xlfn.XLOOKUP(Table2[[#This Row],[Customer_ID]],Table1[Customer_ID],Table1[Customer_Name])</f>
        <v>Miss Henslee</v>
      </c>
    </row>
    <row r="1592" spans="1:10" x14ac:dyDescent="0.35">
      <c r="A1592" s="4">
        <v>40811</v>
      </c>
      <c r="B1592" s="2">
        <v>10643</v>
      </c>
      <c r="C1592" s="2">
        <v>398</v>
      </c>
      <c r="D1592" s="2">
        <v>96</v>
      </c>
      <c r="F1592" s="2">
        <v>2</v>
      </c>
      <c r="G1592" s="2">
        <v>1</v>
      </c>
      <c r="H1592" s="2">
        <v>12</v>
      </c>
      <c r="I1592" s="2">
        <v>0</v>
      </c>
      <c r="J1592" t="str">
        <f>_xlfn.XLOOKUP(Table2[[#This Row],[Customer_ID]],Table1[Customer_ID],Table1[Customer_Name])</f>
        <v>Miss Henslee</v>
      </c>
    </row>
    <row r="1593" spans="1:10" x14ac:dyDescent="0.35">
      <c r="A1593" s="4">
        <v>40812</v>
      </c>
      <c r="B1593" s="2">
        <v>10645</v>
      </c>
      <c r="C1593" s="2">
        <v>306</v>
      </c>
      <c r="D1593" s="2">
        <v>98</v>
      </c>
      <c r="F1593" s="2">
        <v>2</v>
      </c>
      <c r="G1593" s="2">
        <v>4</v>
      </c>
      <c r="H1593" s="2">
        <v>9</v>
      </c>
      <c r="I1593" s="2">
        <v>0</v>
      </c>
      <c r="J1593" t="str">
        <f>_xlfn.XLOOKUP(Table2[[#This Row],[Customer_ID]],Table1[Customer_ID],Table1[Customer_Name])</f>
        <v>Myesha Mumm</v>
      </c>
    </row>
    <row r="1594" spans="1:10" x14ac:dyDescent="0.35">
      <c r="A1594" s="4">
        <v>40812</v>
      </c>
      <c r="B1594" s="2">
        <v>10645</v>
      </c>
      <c r="C1594" s="2">
        <v>336</v>
      </c>
      <c r="D1594" s="2">
        <v>98</v>
      </c>
      <c r="F1594" s="2">
        <v>2</v>
      </c>
      <c r="G1594" s="2">
        <v>4</v>
      </c>
      <c r="H1594" s="2">
        <v>5</v>
      </c>
      <c r="I1594" s="2">
        <v>0</v>
      </c>
      <c r="J1594" t="str">
        <f>_xlfn.XLOOKUP(Table2[[#This Row],[Customer_ID]],Table1[Customer_ID],Table1[Customer_Name])</f>
        <v>Myesha Mumm</v>
      </c>
    </row>
    <row r="1595" spans="1:10" x14ac:dyDescent="0.35">
      <c r="A1595" s="4">
        <v>40813</v>
      </c>
      <c r="B1595" s="2">
        <v>10647</v>
      </c>
      <c r="C1595" s="2">
        <v>366</v>
      </c>
      <c r="D1595" s="2">
        <v>100</v>
      </c>
      <c r="E1595" s="2">
        <v>19</v>
      </c>
      <c r="F1595" s="2">
        <v>2</v>
      </c>
      <c r="G1595" s="2">
        <v>1</v>
      </c>
      <c r="H1595" s="2">
        <v>7</v>
      </c>
      <c r="I1595" s="2">
        <v>0</v>
      </c>
      <c r="J1595" t="str">
        <f>_xlfn.XLOOKUP(Table2[[#This Row],[Customer_ID]],Table1[Customer_ID],Table1[Customer_Name])</f>
        <v>Natividad Grandberry</v>
      </c>
    </row>
    <row r="1596" spans="1:10" x14ac:dyDescent="0.35">
      <c r="A1596" s="4">
        <v>40813</v>
      </c>
      <c r="B1596" s="2">
        <v>10647</v>
      </c>
      <c r="C1596" s="2">
        <v>348</v>
      </c>
      <c r="D1596" s="2">
        <v>100</v>
      </c>
      <c r="E1596" s="2">
        <v>19</v>
      </c>
      <c r="F1596" s="2">
        <v>2</v>
      </c>
      <c r="G1596" s="2">
        <v>2</v>
      </c>
      <c r="H1596" s="2">
        <v>2</v>
      </c>
      <c r="I1596" s="2">
        <v>0</v>
      </c>
      <c r="J1596" t="str">
        <f>_xlfn.XLOOKUP(Table2[[#This Row],[Customer_ID]],Table1[Customer_ID],Table1[Customer_Name])</f>
        <v>Natividad Grandberry</v>
      </c>
    </row>
    <row r="1597" spans="1:10" x14ac:dyDescent="0.35">
      <c r="A1597" s="4">
        <v>40814</v>
      </c>
      <c r="B1597" s="2">
        <v>10649</v>
      </c>
      <c r="C1597" s="2">
        <v>190</v>
      </c>
      <c r="D1597" s="2">
        <v>2</v>
      </c>
      <c r="E1597" s="2">
        <v>21</v>
      </c>
      <c r="F1597" s="2">
        <v>2</v>
      </c>
      <c r="G1597" s="2">
        <v>4</v>
      </c>
      <c r="H1597" s="2">
        <v>4</v>
      </c>
      <c r="I1597" s="2">
        <v>0</v>
      </c>
      <c r="J1597" t="str">
        <f>_xlfn.XLOOKUP(Table2[[#This Row],[Customer_ID]],Table1[Customer_ID],Table1[Customer_Name])</f>
        <v>Alaine Kindig</v>
      </c>
    </row>
    <row r="1598" spans="1:10" x14ac:dyDescent="0.35">
      <c r="A1598" s="4">
        <v>40814</v>
      </c>
      <c r="B1598" s="2">
        <v>10649</v>
      </c>
      <c r="C1598" s="2">
        <v>324</v>
      </c>
      <c r="D1598" s="2">
        <v>2</v>
      </c>
      <c r="E1598" s="2">
        <v>21</v>
      </c>
      <c r="F1598" s="2">
        <v>2</v>
      </c>
      <c r="G1598" s="2">
        <v>8</v>
      </c>
      <c r="H1598" s="2">
        <v>8</v>
      </c>
      <c r="I1598" s="2">
        <v>0</v>
      </c>
      <c r="J1598" t="str">
        <f>_xlfn.XLOOKUP(Table2[[#This Row],[Customer_ID]],Table1[Customer_ID],Table1[Customer_Name])</f>
        <v>Alaine Kindig</v>
      </c>
    </row>
    <row r="1599" spans="1:10" x14ac:dyDescent="0.35">
      <c r="A1599" s="4">
        <v>40818</v>
      </c>
      <c r="B1599" s="2">
        <v>10651</v>
      </c>
      <c r="C1599" s="2">
        <v>211</v>
      </c>
      <c r="D1599" s="2">
        <v>4</v>
      </c>
      <c r="E1599" s="2">
        <v>67</v>
      </c>
      <c r="F1599" s="2">
        <v>2</v>
      </c>
      <c r="G1599" s="2">
        <v>2</v>
      </c>
      <c r="H1599" s="2">
        <v>4</v>
      </c>
      <c r="I1599" s="2">
        <v>0</v>
      </c>
      <c r="J1599" t="str">
        <f>_xlfn.XLOOKUP(Table2[[#This Row],[Customer_ID]],Table1[Customer_ID],Table1[Customer_Name])</f>
        <v>Andreas Armour</v>
      </c>
    </row>
    <row r="1600" spans="1:10" x14ac:dyDescent="0.35">
      <c r="A1600" s="4">
        <v>40818</v>
      </c>
      <c r="B1600" s="2">
        <v>10651</v>
      </c>
      <c r="C1600" s="2">
        <v>328</v>
      </c>
      <c r="D1600" s="2">
        <v>4</v>
      </c>
      <c r="E1600" s="2">
        <v>67</v>
      </c>
      <c r="F1600" s="2">
        <v>2</v>
      </c>
      <c r="G1600" s="2">
        <v>4</v>
      </c>
      <c r="H1600" s="2">
        <v>46</v>
      </c>
      <c r="I1600" s="2">
        <v>0</v>
      </c>
      <c r="J1600" t="str">
        <f>_xlfn.XLOOKUP(Table2[[#This Row],[Customer_ID]],Table1[Customer_ID],Table1[Customer_Name])</f>
        <v>Andreas Armour</v>
      </c>
    </row>
    <row r="1601" spans="1:10" x14ac:dyDescent="0.35">
      <c r="A1601" s="4">
        <v>40819</v>
      </c>
      <c r="B1601" s="2">
        <v>10653</v>
      </c>
      <c r="C1601" s="2">
        <v>288</v>
      </c>
      <c r="D1601" s="2">
        <v>6</v>
      </c>
      <c r="E1601" s="2">
        <v>53</v>
      </c>
      <c r="F1601" s="2">
        <v>2</v>
      </c>
      <c r="G1601" s="2">
        <v>7</v>
      </c>
      <c r="H1601" s="2">
        <v>3</v>
      </c>
      <c r="I1601" s="2">
        <v>0</v>
      </c>
      <c r="J1601" t="str">
        <f>_xlfn.XLOOKUP(Table2[[#This Row],[Customer_ID]],Table1[Customer_ID],Table1[Customer_Name])</f>
        <v>Anjelica Usrey</v>
      </c>
    </row>
    <row r="1602" spans="1:10" x14ac:dyDescent="0.35">
      <c r="A1602" s="4">
        <v>40819</v>
      </c>
      <c r="B1602" s="2">
        <v>10653</v>
      </c>
      <c r="C1602" s="2">
        <v>286</v>
      </c>
      <c r="D1602" s="2">
        <v>6</v>
      </c>
      <c r="E1602" s="2">
        <v>53</v>
      </c>
      <c r="F1602" s="2">
        <v>2</v>
      </c>
      <c r="G1602" s="2">
        <v>5</v>
      </c>
      <c r="H1602" s="2">
        <v>4</v>
      </c>
      <c r="I1602" s="2">
        <v>0</v>
      </c>
      <c r="J1602" t="str">
        <f>_xlfn.XLOOKUP(Table2[[#This Row],[Customer_ID]],Table1[Customer_ID],Table1[Customer_Name])</f>
        <v>Anjelica Usrey</v>
      </c>
    </row>
    <row r="1603" spans="1:10" x14ac:dyDescent="0.35">
      <c r="A1603" s="4">
        <v>40820</v>
      </c>
      <c r="B1603" s="2">
        <v>10655</v>
      </c>
      <c r="C1603" s="2">
        <v>109</v>
      </c>
      <c r="D1603" s="2">
        <v>8</v>
      </c>
      <c r="E1603" s="2">
        <v>60</v>
      </c>
      <c r="F1603" s="2">
        <v>2</v>
      </c>
      <c r="G1603" s="2">
        <v>2</v>
      </c>
      <c r="H1603" s="2">
        <v>377</v>
      </c>
      <c r="I1603" s="2">
        <v>0</v>
      </c>
      <c r="J1603" t="str">
        <f>_xlfn.XLOOKUP(Table2[[#This Row],[Customer_ID]],Table1[Customer_ID],Table1[Customer_Name])</f>
        <v>Ashley Ables</v>
      </c>
    </row>
    <row r="1604" spans="1:10" x14ac:dyDescent="0.35">
      <c r="A1604" s="4">
        <v>40821</v>
      </c>
      <c r="B1604" s="2">
        <v>10657</v>
      </c>
      <c r="C1604" s="2">
        <v>107</v>
      </c>
      <c r="D1604" s="2">
        <v>10</v>
      </c>
      <c r="E1604" s="2">
        <v>21</v>
      </c>
      <c r="F1604" s="2">
        <v>2</v>
      </c>
      <c r="G1604" s="2">
        <v>6</v>
      </c>
      <c r="H1604" s="2">
        <v>628</v>
      </c>
      <c r="I1604" s="2">
        <v>0</v>
      </c>
      <c r="J1604" t="str">
        <f>_xlfn.XLOOKUP(Table2[[#This Row],[Customer_ID]],Table1[Customer_ID],Table1[Customer_Name])</f>
        <v>Berniece Blakely</v>
      </c>
    </row>
    <row r="1605" spans="1:10" x14ac:dyDescent="0.35">
      <c r="A1605" s="4">
        <v>40821</v>
      </c>
      <c r="B1605" s="2">
        <v>10657</v>
      </c>
      <c r="C1605" s="2">
        <v>105</v>
      </c>
      <c r="D1605" s="2">
        <v>10</v>
      </c>
      <c r="E1605" s="2">
        <v>21</v>
      </c>
      <c r="F1605" s="2">
        <v>2</v>
      </c>
      <c r="G1605" s="2">
        <v>4</v>
      </c>
      <c r="H1605" s="2">
        <v>661</v>
      </c>
      <c r="I1605" s="2">
        <v>0</v>
      </c>
      <c r="J1605" t="str">
        <f>_xlfn.XLOOKUP(Table2[[#This Row],[Customer_ID]],Table1[Customer_ID],Table1[Customer_Name])</f>
        <v>Berniece Blakely</v>
      </c>
    </row>
    <row r="1606" spans="1:10" x14ac:dyDescent="0.35">
      <c r="A1606" s="4">
        <v>40821</v>
      </c>
      <c r="B1606" s="2">
        <v>10657</v>
      </c>
      <c r="C1606" s="2">
        <v>104</v>
      </c>
      <c r="D1606" s="2">
        <v>10</v>
      </c>
      <c r="E1606" s="2">
        <v>21</v>
      </c>
      <c r="F1606" s="2">
        <v>2</v>
      </c>
      <c r="G1606" s="2">
        <v>2</v>
      </c>
      <c r="H1606" s="2">
        <v>661</v>
      </c>
      <c r="I1606" s="2">
        <v>0</v>
      </c>
      <c r="J1606" t="str">
        <f>_xlfn.XLOOKUP(Table2[[#This Row],[Customer_ID]],Table1[Customer_ID],Table1[Customer_Name])</f>
        <v>Berniece Blakely</v>
      </c>
    </row>
    <row r="1607" spans="1:10" x14ac:dyDescent="0.35">
      <c r="A1607" s="4">
        <v>40821</v>
      </c>
      <c r="B1607" s="2">
        <v>10657</v>
      </c>
      <c r="C1607" s="2">
        <v>110</v>
      </c>
      <c r="D1607" s="2">
        <v>10</v>
      </c>
      <c r="E1607" s="2">
        <v>21</v>
      </c>
      <c r="F1607" s="2">
        <v>2</v>
      </c>
      <c r="G1607" s="2">
        <v>7</v>
      </c>
      <c r="H1607" s="2">
        <v>1101</v>
      </c>
      <c r="I1607" s="2">
        <v>0</v>
      </c>
      <c r="J1607" t="str">
        <f>_xlfn.XLOOKUP(Table2[[#This Row],[Customer_ID]],Table1[Customer_ID],Table1[Customer_Name])</f>
        <v>Berniece Blakely</v>
      </c>
    </row>
    <row r="1608" spans="1:10" x14ac:dyDescent="0.35">
      <c r="A1608" s="4">
        <v>40821</v>
      </c>
      <c r="B1608" s="2">
        <v>10657</v>
      </c>
      <c r="C1608" s="2">
        <v>103</v>
      </c>
      <c r="D1608" s="2">
        <v>10</v>
      </c>
      <c r="E1608" s="2">
        <v>21</v>
      </c>
      <c r="F1608" s="2">
        <v>2</v>
      </c>
      <c r="G1608" s="2">
        <v>6</v>
      </c>
      <c r="H1608" s="2">
        <v>560</v>
      </c>
      <c r="I1608" s="2">
        <v>0</v>
      </c>
      <c r="J1608" t="str">
        <f>_xlfn.XLOOKUP(Table2[[#This Row],[Customer_ID]],Table1[Customer_ID],Table1[Customer_Name])</f>
        <v>Berniece Blakely</v>
      </c>
    </row>
    <row r="1609" spans="1:10" x14ac:dyDescent="0.35">
      <c r="A1609" s="4">
        <v>40821</v>
      </c>
      <c r="B1609" s="2">
        <v>10657</v>
      </c>
      <c r="C1609" s="2">
        <v>112</v>
      </c>
      <c r="D1609" s="2">
        <v>10</v>
      </c>
      <c r="E1609" s="2">
        <v>21</v>
      </c>
      <c r="F1609" s="2">
        <v>2</v>
      </c>
      <c r="G1609" s="2">
        <v>4</v>
      </c>
      <c r="H1609" s="2">
        <v>493</v>
      </c>
      <c r="I1609" s="2">
        <v>0</v>
      </c>
      <c r="J1609" t="str">
        <f>_xlfn.XLOOKUP(Table2[[#This Row],[Customer_ID]],Table1[Customer_ID],Table1[Customer_Name])</f>
        <v>Berniece Blakely</v>
      </c>
    </row>
    <row r="1610" spans="1:10" x14ac:dyDescent="0.35">
      <c r="A1610" s="4">
        <v>40822</v>
      </c>
      <c r="B1610" s="2">
        <v>10659</v>
      </c>
      <c r="C1610" s="2">
        <v>24</v>
      </c>
      <c r="D1610" s="2">
        <v>12</v>
      </c>
      <c r="E1610" s="2">
        <v>63</v>
      </c>
      <c r="F1610" s="2">
        <v>2</v>
      </c>
      <c r="G1610" s="2">
        <v>1</v>
      </c>
      <c r="H1610" s="2">
        <v>456</v>
      </c>
      <c r="I1610" s="2">
        <v>0</v>
      </c>
      <c r="J1610" t="str">
        <f>_xlfn.XLOOKUP(Table2[[#This Row],[Customer_ID]],Table1[Customer_ID],Table1[Customer_Name])</f>
        <v>Brittney Edmond</v>
      </c>
    </row>
    <row r="1611" spans="1:10" x14ac:dyDescent="0.35">
      <c r="A1611" s="4">
        <v>40822</v>
      </c>
      <c r="B1611" s="2">
        <v>10659</v>
      </c>
      <c r="C1611" s="2">
        <v>23</v>
      </c>
      <c r="D1611" s="2">
        <v>12</v>
      </c>
      <c r="E1611" s="2">
        <v>63</v>
      </c>
      <c r="F1611" s="2">
        <v>2</v>
      </c>
      <c r="G1611" s="2">
        <v>1</v>
      </c>
      <c r="H1611" s="2">
        <v>484</v>
      </c>
      <c r="I1611" s="2">
        <v>0</v>
      </c>
      <c r="J1611" t="str">
        <f>_xlfn.XLOOKUP(Table2[[#This Row],[Customer_ID]],Table1[Customer_ID],Table1[Customer_Name])</f>
        <v>Brittney Edmond</v>
      </c>
    </row>
    <row r="1612" spans="1:10" x14ac:dyDescent="0.35">
      <c r="A1612" s="4">
        <v>40822</v>
      </c>
      <c r="B1612" s="2">
        <v>10659</v>
      </c>
      <c r="C1612" s="2">
        <v>25</v>
      </c>
      <c r="D1612" s="2">
        <v>12</v>
      </c>
      <c r="E1612" s="2">
        <v>63</v>
      </c>
      <c r="F1612" s="2">
        <v>2</v>
      </c>
      <c r="G1612" s="2">
        <v>2</v>
      </c>
      <c r="H1612" s="2">
        <v>364</v>
      </c>
      <c r="I1612" s="2">
        <v>0</v>
      </c>
      <c r="J1612" t="str">
        <f>_xlfn.XLOOKUP(Table2[[#This Row],[Customer_ID]],Table1[Customer_ID],Table1[Customer_Name])</f>
        <v>Brittney Edmond</v>
      </c>
    </row>
    <row r="1613" spans="1:10" x14ac:dyDescent="0.35">
      <c r="A1613" s="4">
        <v>40826</v>
      </c>
      <c r="B1613" s="2">
        <v>10661</v>
      </c>
      <c r="C1613" s="2">
        <v>51</v>
      </c>
      <c r="D1613" s="2">
        <v>14</v>
      </c>
      <c r="E1613" s="2">
        <v>33</v>
      </c>
      <c r="F1613" s="2">
        <v>2</v>
      </c>
      <c r="G1613" s="2">
        <v>1</v>
      </c>
      <c r="H1613" s="2">
        <v>18</v>
      </c>
      <c r="I1613" s="2">
        <v>0</v>
      </c>
      <c r="J1613" t="str">
        <f>_xlfn.XLOOKUP(Table2[[#This Row],[Customer_ID]],Table1[Customer_ID],Table1[Customer_Name])</f>
        <v>Cari Craw</v>
      </c>
    </row>
    <row r="1614" spans="1:10" x14ac:dyDescent="0.35">
      <c r="A1614" s="4">
        <v>40826</v>
      </c>
      <c r="B1614" s="2">
        <v>10661</v>
      </c>
      <c r="C1614" s="2">
        <v>50</v>
      </c>
      <c r="D1614" s="2">
        <v>14</v>
      </c>
      <c r="E1614" s="2">
        <v>33</v>
      </c>
      <c r="F1614" s="2">
        <v>2</v>
      </c>
      <c r="G1614" s="2">
        <v>5</v>
      </c>
      <c r="H1614" s="2">
        <v>65</v>
      </c>
      <c r="I1614" s="2">
        <v>0</v>
      </c>
      <c r="J1614" t="str">
        <f>_xlfn.XLOOKUP(Table2[[#This Row],[Customer_ID]],Table1[Customer_ID],Table1[Customer_Name])</f>
        <v>Cari Craw</v>
      </c>
    </row>
    <row r="1615" spans="1:10" x14ac:dyDescent="0.35">
      <c r="A1615" s="4">
        <v>40827</v>
      </c>
      <c r="B1615" s="2">
        <v>10663</v>
      </c>
      <c r="C1615" s="2">
        <v>410</v>
      </c>
      <c r="D1615" s="2">
        <v>16</v>
      </c>
      <c r="E1615" s="2">
        <v>38</v>
      </c>
      <c r="F1615" s="2">
        <v>2</v>
      </c>
      <c r="G1615" s="2">
        <v>3</v>
      </c>
      <c r="H1615" s="2">
        <v>16</v>
      </c>
      <c r="I1615" s="2">
        <v>0</v>
      </c>
      <c r="J1615" t="str">
        <f>_xlfn.XLOOKUP(Table2[[#This Row],[Customer_ID]],Table1[Customer_ID],Table1[Customer_Name])</f>
        <v>Casandra Flewelling</v>
      </c>
    </row>
    <row r="1616" spans="1:10" x14ac:dyDescent="0.35">
      <c r="A1616" s="4">
        <v>40827</v>
      </c>
      <c r="B1616" s="2">
        <v>10663</v>
      </c>
      <c r="C1616" s="2">
        <v>405</v>
      </c>
      <c r="D1616" s="2">
        <v>16</v>
      </c>
      <c r="E1616" s="2">
        <v>38</v>
      </c>
      <c r="F1616" s="2">
        <v>2</v>
      </c>
      <c r="G1616" s="2">
        <v>3</v>
      </c>
      <c r="H1616" s="2">
        <v>13</v>
      </c>
      <c r="I1616" s="2">
        <v>0</v>
      </c>
      <c r="J1616" t="str">
        <f>_xlfn.XLOOKUP(Table2[[#This Row],[Customer_ID]],Table1[Customer_ID],Table1[Customer_Name])</f>
        <v>Casandra Flewelling</v>
      </c>
    </row>
    <row r="1617" spans="1:10" x14ac:dyDescent="0.35">
      <c r="A1617" s="4">
        <v>40827</v>
      </c>
      <c r="B1617" s="2">
        <v>10663</v>
      </c>
      <c r="C1617" s="2">
        <v>260</v>
      </c>
      <c r="D1617" s="2">
        <v>16</v>
      </c>
      <c r="E1617" s="2">
        <v>38</v>
      </c>
      <c r="F1617" s="2">
        <v>2</v>
      </c>
      <c r="G1617" s="2">
        <v>3</v>
      </c>
      <c r="H1617" s="2">
        <v>15</v>
      </c>
      <c r="I1617" s="2">
        <v>0</v>
      </c>
      <c r="J1617" t="str">
        <f>_xlfn.XLOOKUP(Table2[[#This Row],[Customer_ID]],Table1[Customer_ID],Table1[Customer_Name])</f>
        <v>Casandra Flewelling</v>
      </c>
    </row>
    <row r="1618" spans="1:10" x14ac:dyDescent="0.35">
      <c r="A1618" s="4">
        <v>40828</v>
      </c>
      <c r="B1618" s="2">
        <v>10665</v>
      </c>
      <c r="C1618" s="2">
        <v>255</v>
      </c>
      <c r="D1618" s="2">
        <v>18</v>
      </c>
      <c r="E1618" s="2">
        <v>41</v>
      </c>
      <c r="F1618" s="2">
        <v>2</v>
      </c>
      <c r="G1618" s="2">
        <v>1</v>
      </c>
      <c r="H1618" s="2">
        <v>2</v>
      </c>
      <c r="I1618" s="2">
        <v>0</v>
      </c>
      <c r="J1618" t="str">
        <f>_xlfn.XLOOKUP(Table2[[#This Row],[Customer_ID]],Table1[Customer_ID],Table1[Customer_Name])</f>
        <v>Cecilia Crossman</v>
      </c>
    </row>
    <row r="1619" spans="1:10" x14ac:dyDescent="0.35">
      <c r="A1619" s="4">
        <v>40828</v>
      </c>
      <c r="B1619" s="2">
        <v>10665</v>
      </c>
      <c r="C1619" s="2">
        <v>277</v>
      </c>
      <c r="D1619" s="2">
        <v>18</v>
      </c>
      <c r="E1619" s="2">
        <v>41</v>
      </c>
      <c r="F1619" s="2">
        <v>2</v>
      </c>
      <c r="G1619" s="2">
        <v>1</v>
      </c>
      <c r="H1619" s="2">
        <v>2</v>
      </c>
      <c r="I1619" s="2">
        <v>0</v>
      </c>
      <c r="J1619" t="str">
        <f>_xlfn.XLOOKUP(Table2[[#This Row],[Customer_ID]],Table1[Customer_ID],Table1[Customer_Name])</f>
        <v>Cecilia Crossman</v>
      </c>
    </row>
    <row r="1620" spans="1:10" x14ac:dyDescent="0.35">
      <c r="A1620" s="4">
        <v>40828</v>
      </c>
      <c r="B1620" s="2">
        <v>10665</v>
      </c>
      <c r="C1620" s="2">
        <v>281</v>
      </c>
      <c r="D1620" s="2">
        <v>18</v>
      </c>
      <c r="E1620" s="2">
        <v>41</v>
      </c>
      <c r="F1620" s="2">
        <v>2</v>
      </c>
      <c r="G1620" s="2">
        <v>2</v>
      </c>
      <c r="H1620" s="2">
        <v>4</v>
      </c>
      <c r="I1620" s="2">
        <v>0</v>
      </c>
      <c r="J1620" t="str">
        <f>_xlfn.XLOOKUP(Table2[[#This Row],[Customer_ID]],Table1[Customer_ID],Table1[Customer_Name])</f>
        <v>Cecilia Crossman</v>
      </c>
    </row>
    <row r="1621" spans="1:10" x14ac:dyDescent="0.35">
      <c r="A1621" s="4">
        <v>40829</v>
      </c>
      <c r="B1621" s="2">
        <v>10667</v>
      </c>
      <c r="C1621" s="2">
        <v>209</v>
      </c>
      <c r="D1621" s="2">
        <v>20</v>
      </c>
      <c r="E1621" s="2">
        <v>42</v>
      </c>
      <c r="F1621" s="2">
        <v>2</v>
      </c>
      <c r="G1621" s="2">
        <v>1</v>
      </c>
      <c r="H1621" s="2">
        <v>11</v>
      </c>
      <c r="I1621" s="2">
        <v>0</v>
      </c>
      <c r="J1621" t="str">
        <f>_xlfn.XLOOKUP(Table2[[#This Row],[Customer_ID]],Table1[Customer_ID],Table1[Customer_Name])</f>
        <v>Chelsey Powers</v>
      </c>
    </row>
    <row r="1622" spans="1:10" x14ac:dyDescent="0.35">
      <c r="A1622" s="4">
        <v>40829</v>
      </c>
      <c r="B1622" s="2">
        <v>10667</v>
      </c>
      <c r="C1622" s="2">
        <v>191</v>
      </c>
      <c r="D1622" s="2">
        <v>20</v>
      </c>
      <c r="E1622" s="2">
        <v>42</v>
      </c>
      <c r="F1622" s="2">
        <v>2</v>
      </c>
      <c r="G1622" s="2">
        <v>3</v>
      </c>
      <c r="H1622" s="2">
        <v>11</v>
      </c>
      <c r="I1622" s="2">
        <v>0</v>
      </c>
      <c r="J1622" t="str">
        <f>_xlfn.XLOOKUP(Table2[[#This Row],[Customer_ID]],Table1[Customer_ID],Table1[Customer_Name])</f>
        <v>Chelsey Powers</v>
      </c>
    </row>
    <row r="1623" spans="1:10" x14ac:dyDescent="0.35">
      <c r="A1623" s="4">
        <v>40832</v>
      </c>
      <c r="B1623" s="2">
        <v>10669</v>
      </c>
      <c r="C1623" s="2">
        <v>335</v>
      </c>
      <c r="D1623" s="2">
        <v>22</v>
      </c>
      <c r="E1623" s="2">
        <v>49</v>
      </c>
      <c r="F1623" s="2">
        <v>2</v>
      </c>
      <c r="G1623" s="2">
        <v>2</v>
      </c>
      <c r="H1623" s="2">
        <v>4</v>
      </c>
      <c r="I1623" s="2">
        <v>0</v>
      </c>
      <c r="J1623" t="str">
        <f>_xlfn.XLOOKUP(Table2[[#This Row],[Customer_ID]],Table1[Customer_ID],Table1[Customer_Name])</f>
        <v>Colleen Coplin</v>
      </c>
    </row>
    <row r="1624" spans="1:10" x14ac:dyDescent="0.35">
      <c r="A1624" s="4">
        <v>40834</v>
      </c>
      <c r="B1624" s="2">
        <v>10671</v>
      </c>
      <c r="C1624" s="2">
        <v>126</v>
      </c>
      <c r="D1624" s="2">
        <v>24</v>
      </c>
      <c r="E1624" s="2">
        <v>59</v>
      </c>
      <c r="F1624" s="2">
        <v>2</v>
      </c>
      <c r="G1624" s="2">
        <v>1</v>
      </c>
      <c r="H1624" s="2">
        <v>450</v>
      </c>
      <c r="I1624" s="2">
        <v>0</v>
      </c>
      <c r="J1624" t="str">
        <f>_xlfn.XLOOKUP(Table2[[#This Row],[Customer_ID]],Table1[Customer_ID],Table1[Customer_Name])</f>
        <v>Corrinne Cataldo</v>
      </c>
    </row>
    <row r="1625" spans="1:10" x14ac:dyDescent="0.35">
      <c r="A1625" s="4">
        <v>40834</v>
      </c>
      <c r="B1625" s="2">
        <v>10671</v>
      </c>
      <c r="C1625" s="2">
        <v>127</v>
      </c>
      <c r="D1625" s="2">
        <v>24</v>
      </c>
      <c r="E1625" s="2">
        <v>59</v>
      </c>
      <c r="F1625" s="2">
        <v>2</v>
      </c>
      <c r="G1625" s="2">
        <v>3</v>
      </c>
      <c r="H1625" s="2">
        <v>695</v>
      </c>
      <c r="I1625" s="2">
        <v>0</v>
      </c>
      <c r="J1625" t="str">
        <f>_xlfn.XLOOKUP(Table2[[#This Row],[Customer_ID]],Table1[Customer_ID],Table1[Customer_Name])</f>
        <v>Corrinne Cataldo</v>
      </c>
    </row>
    <row r="1626" spans="1:10" x14ac:dyDescent="0.35">
      <c r="A1626" s="4">
        <v>40834</v>
      </c>
      <c r="B1626" s="2">
        <v>10671</v>
      </c>
      <c r="C1626" s="2">
        <v>128</v>
      </c>
      <c r="D1626" s="2">
        <v>24</v>
      </c>
      <c r="E1626" s="2">
        <v>59</v>
      </c>
      <c r="F1626" s="2">
        <v>2</v>
      </c>
      <c r="G1626" s="2">
        <v>2</v>
      </c>
      <c r="H1626" s="2">
        <v>644</v>
      </c>
      <c r="I1626" s="2">
        <v>0</v>
      </c>
      <c r="J1626" t="str">
        <f>_xlfn.XLOOKUP(Table2[[#This Row],[Customer_ID]],Table1[Customer_ID],Table1[Customer_Name])</f>
        <v>Corrinne Cataldo</v>
      </c>
    </row>
    <row r="1627" spans="1:10" x14ac:dyDescent="0.35">
      <c r="A1627" s="4">
        <v>40835</v>
      </c>
      <c r="B1627" s="2">
        <v>10673</v>
      </c>
      <c r="C1627" s="2">
        <v>132</v>
      </c>
      <c r="D1627" s="2">
        <v>26</v>
      </c>
      <c r="E1627" s="2">
        <v>94</v>
      </c>
      <c r="F1627" s="2">
        <v>2</v>
      </c>
      <c r="G1627" s="2">
        <v>1</v>
      </c>
      <c r="H1627" s="2">
        <v>1221</v>
      </c>
      <c r="I1627" s="2">
        <v>0</v>
      </c>
      <c r="J1627" t="str">
        <f>_xlfn.XLOOKUP(Table2[[#This Row],[Customer_ID]],Table1[Customer_ID],Table1[Customer_Name])</f>
        <v>Cyndy Collie</v>
      </c>
    </row>
    <row r="1628" spans="1:10" x14ac:dyDescent="0.35">
      <c r="A1628" s="4">
        <v>40835</v>
      </c>
      <c r="B1628" s="2">
        <v>10673</v>
      </c>
      <c r="C1628" s="2">
        <v>199</v>
      </c>
      <c r="D1628" s="2">
        <v>26</v>
      </c>
      <c r="E1628" s="2">
        <v>94</v>
      </c>
      <c r="F1628" s="2">
        <v>2</v>
      </c>
      <c r="G1628" s="2">
        <v>2</v>
      </c>
      <c r="H1628" s="2">
        <v>3</v>
      </c>
      <c r="I1628" s="2">
        <v>0</v>
      </c>
      <c r="J1628" t="str">
        <f>_xlfn.XLOOKUP(Table2[[#This Row],[Customer_ID]],Table1[Customer_ID],Table1[Customer_Name])</f>
        <v>Cyndy Collie</v>
      </c>
    </row>
    <row r="1629" spans="1:10" x14ac:dyDescent="0.35">
      <c r="A1629" s="4">
        <v>40835</v>
      </c>
      <c r="B1629" s="2">
        <v>10673</v>
      </c>
      <c r="C1629" s="2">
        <v>131</v>
      </c>
      <c r="D1629" s="2">
        <v>26</v>
      </c>
      <c r="E1629" s="2">
        <v>94</v>
      </c>
      <c r="F1629" s="2">
        <v>2</v>
      </c>
      <c r="G1629" s="2">
        <v>2</v>
      </c>
      <c r="H1629" s="2">
        <v>840</v>
      </c>
      <c r="I1629" s="2">
        <v>0</v>
      </c>
      <c r="J1629" t="str">
        <f>_xlfn.XLOOKUP(Table2[[#This Row],[Customer_ID]],Table1[Customer_ID],Table1[Customer_Name])</f>
        <v>Cyndy Collie</v>
      </c>
    </row>
    <row r="1630" spans="1:10" x14ac:dyDescent="0.35">
      <c r="A1630" s="4">
        <v>40836</v>
      </c>
      <c r="B1630" s="2">
        <v>10675</v>
      </c>
      <c r="C1630" s="2">
        <v>352</v>
      </c>
      <c r="D1630" s="2">
        <v>28</v>
      </c>
      <c r="E1630" s="2">
        <v>26</v>
      </c>
      <c r="F1630" s="2">
        <v>2</v>
      </c>
      <c r="G1630" s="2">
        <v>1</v>
      </c>
      <c r="H1630" s="2">
        <v>89</v>
      </c>
      <c r="I1630" s="2">
        <v>0</v>
      </c>
      <c r="J1630" t="str">
        <f>_xlfn.XLOOKUP(Table2[[#This Row],[Customer_ID]],Table1[Customer_ID],Table1[Customer_Name])</f>
        <v>Delena Hulin</v>
      </c>
    </row>
    <row r="1631" spans="1:10" x14ac:dyDescent="0.35">
      <c r="A1631" s="4">
        <v>40836</v>
      </c>
      <c r="B1631" s="2">
        <v>10675</v>
      </c>
      <c r="C1631" s="2">
        <v>361</v>
      </c>
      <c r="D1631" s="2">
        <v>28</v>
      </c>
      <c r="E1631" s="2">
        <v>26</v>
      </c>
      <c r="F1631" s="2">
        <v>2</v>
      </c>
      <c r="G1631" s="2">
        <v>7</v>
      </c>
      <c r="H1631" s="2">
        <v>123</v>
      </c>
      <c r="I1631" s="2">
        <v>0</v>
      </c>
      <c r="J1631" t="str">
        <f>_xlfn.XLOOKUP(Table2[[#This Row],[Customer_ID]],Table1[Customer_ID],Table1[Customer_Name])</f>
        <v>Delena Hulin</v>
      </c>
    </row>
    <row r="1632" spans="1:10" x14ac:dyDescent="0.35">
      <c r="A1632" s="4">
        <v>40836</v>
      </c>
      <c r="B1632" s="2">
        <v>10675</v>
      </c>
      <c r="C1632" s="2">
        <v>293</v>
      </c>
      <c r="D1632" s="2">
        <v>28</v>
      </c>
      <c r="E1632" s="2">
        <v>26</v>
      </c>
      <c r="F1632" s="2">
        <v>2</v>
      </c>
      <c r="G1632" s="2">
        <v>1</v>
      </c>
      <c r="H1632" s="2">
        <v>2</v>
      </c>
      <c r="I1632" s="2">
        <v>0</v>
      </c>
      <c r="J1632" t="str">
        <f>_xlfn.XLOOKUP(Table2[[#This Row],[Customer_ID]],Table1[Customer_ID],Table1[Customer_Name])</f>
        <v>Delena Hulin</v>
      </c>
    </row>
    <row r="1633" spans="1:10" x14ac:dyDescent="0.35">
      <c r="A1633" s="4">
        <v>40839</v>
      </c>
      <c r="B1633" s="2">
        <v>10677</v>
      </c>
      <c r="C1633" s="2">
        <v>382</v>
      </c>
      <c r="D1633" s="2">
        <v>30</v>
      </c>
      <c r="E1633" s="2">
        <v>34</v>
      </c>
      <c r="F1633" s="2">
        <v>2</v>
      </c>
      <c r="G1633" s="2">
        <v>8</v>
      </c>
      <c r="H1633" s="2">
        <v>5</v>
      </c>
      <c r="I1633" s="2">
        <v>0</v>
      </c>
      <c r="J1633" t="str">
        <f>_xlfn.XLOOKUP(Table2[[#This Row],[Customer_ID]],Table1[Customer_ID],Table1[Customer_Name])</f>
        <v>Dinah Trusty</v>
      </c>
    </row>
    <row r="1634" spans="1:10" x14ac:dyDescent="0.35">
      <c r="A1634" s="4">
        <v>40839</v>
      </c>
      <c r="B1634" s="2">
        <v>10677</v>
      </c>
      <c r="C1634" s="2">
        <v>383</v>
      </c>
      <c r="D1634" s="2">
        <v>30</v>
      </c>
      <c r="E1634" s="2">
        <v>34</v>
      </c>
      <c r="F1634" s="2">
        <v>2</v>
      </c>
      <c r="G1634" s="2">
        <v>1</v>
      </c>
      <c r="H1634" s="2">
        <v>9</v>
      </c>
      <c r="I1634" s="2">
        <v>0</v>
      </c>
      <c r="J1634" t="str">
        <f>_xlfn.XLOOKUP(Table2[[#This Row],[Customer_ID]],Table1[Customer_ID],Table1[Customer_Name])</f>
        <v>Dinah Trusty</v>
      </c>
    </row>
    <row r="1635" spans="1:10" x14ac:dyDescent="0.35">
      <c r="A1635" s="4">
        <v>40840</v>
      </c>
      <c r="B1635" s="2">
        <v>10679</v>
      </c>
      <c r="C1635" s="2">
        <v>377</v>
      </c>
      <c r="D1635" s="2">
        <v>32</v>
      </c>
      <c r="E1635" s="2">
        <v>36</v>
      </c>
      <c r="F1635" s="2">
        <v>2</v>
      </c>
      <c r="G1635" s="2">
        <v>3</v>
      </c>
      <c r="H1635" s="2">
        <v>3</v>
      </c>
      <c r="I1635" s="2">
        <v>0</v>
      </c>
      <c r="J1635" t="str">
        <f>_xlfn.XLOOKUP(Table2[[#This Row],[Customer_ID]],Table1[Customer_ID],Table1[Customer_Name])</f>
        <v>Doretha Mcmunn</v>
      </c>
    </row>
    <row r="1636" spans="1:10" x14ac:dyDescent="0.35">
      <c r="A1636" s="4">
        <v>40842</v>
      </c>
      <c r="B1636" s="2">
        <v>10681</v>
      </c>
      <c r="C1636" s="2">
        <v>356</v>
      </c>
      <c r="D1636" s="2">
        <v>34</v>
      </c>
      <c r="E1636" s="2">
        <v>96</v>
      </c>
      <c r="F1636" s="2">
        <v>2</v>
      </c>
      <c r="G1636" s="2">
        <v>1</v>
      </c>
      <c r="H1636" s="2">
        <v>12</v>
      </c>
      <c r="I1636" s="2">
        <v>0</v>
      </c>
      <c r="J1636" t="str">
        <f>_xlfn.XLOOKUP(Table2[[#This Row],[Customer_ID]],Table1[Customer_ID],Table1[Customer_Name])</f>
        <v>Duane Dopp</v>
      </c>
    </row>
    <row r="1637" spans="1:10" x14ac:dyDescent="0.35">
      <c r="A1637" s="4">
        <v>40842</v>
      </c>
      <c r="B1637" s="2">
        <v>10681</v>
      </c>
      <c r="C1637" s="2">
        <v>196</v>
      </c>
      <c r="D1637" s="2">
        <v>34</v>
      </c>
      <c r="E1637" s="2">
        <v>96</v>
      </c>
      <c r="F1637" s="2">
        <v>2</v>
      </c>
      <c r="G1637" s="2">
        <v>1</v>
      </c>
      <c r="H1637" s="2">
        <v>5</v>
      </c>
      <c r="I1637" s="2">
        <v>0</v>
      </c>
      <c r="J1637" t="str">
        <f>_xlfn.XLOOKUP(Table2[[#This Row],[Customer_ID]],Table1[Customer_ID],Table1[Customer_Name])</f>
        <v>Duane Dopp</v>
      </c>
    </row>
    <row r="1638" spans="1:10" x14ac:dyDescent="0.35">
      <c r="A1638" s="4">
        <v>40842</v>
      </c>
      <c r="B1638" s="2">
        <v>10681</v>
      </c>
      <c r="C1638" s="2">
        <v>271</v>
      </c>
      <c r="D1638" s="2">
        <v>34</v>
      </c>
      <c r="E1638" s="2">
        <v>96</v>
      </c>
      <c r="F1638" s="2">
        <v>2</v>
      </c>
      <c r="G1638" s="2">
        <v>3</v>
      </c>
      <c r="H1638" s="2">
        <v>3</v>
      </c>
      <c r="I1638" s="2">
        <v>0</v>
      </c>
      <c r="J1638" t="str">
        <f>_xlfn.XLOOKUP(Table2[[#This Row],[Customer_ID]],Table1[Customer_ID],Table1[Customer_Name])</f>
        <v>Duane Dopp</v>
      </c>
    </row>
    <row r="1639" spans="1:10" x14ac:dyDescent="0.35">
      <c r="A1639" s="4">
        <v>40843</v>
      </c>
      <c r="B1639" s="2">
        <v>10683</v>
      </c>
      <c r="C1639" s="2">
        <v>264</v>
      </c>
      <c r="D1639" s="2">
        <v>36</v>
      </c>
      <c r="E1639" s="2">
        <v>55</v>
      </c>
      <c r="F1639" s="2">
        <v>2</v>
      </c>
      <c r="G1639" s="2">
        <v>4</v>
      </c>
      <c r="H1639" s="2">
        <v>6</v>
      </c>
      <c r="I1639" s="2">
        <v>0</v>
      </c>
      <c r="J1639" t="str">
        <f>_xlfn.XLOOKUP(Table2[[#This Row],[Customer_ID]],Table1[Customer_ID],Table1[Customer_Name])</f>
        <v>Earnestine Heidenreich</v>
      </c>
    </row>
    <row r="1640" spans="1:10" x14ac:dyDescent="0.35">
      <c r="A1640" s="4">
        <v>40846</v>
      </c>
      <c r="B1640" s="2">
        <v>10685</v>
      </c>
      <c r="C1640" s="2">
        <v>309</v>
      </c>
      <c r="D1640" s="2">
        <v>38</v>
      </c>
      <c r="E1640" s="2">
        <v>60</v>
      </c>
      <c r="F1640" s="2">
        <v>2</v>
      </c>
      <c r="G1640" s="2">
        <v>7</v>
      </c>
      <c r="H1640" s="2">
        <v>39</v>
      </c>
      <c r="I1640" s="2">
        <v>0</v>
      </c>
      <c r="J1640" t="str">
        <f>_xlfn.XLOOKUP(Table2[[#This Row],[Customer_ID]],Table1[Customer_ID],Table1[Customer_Name])</f>
        <v>Edison Littell</v>
      </c>
    </row>
    <row r="1641" spans="1:10" x14ac:dyDescent="0.35">
      <c r="A1641" s="4">
        <v>40846</v>
      </c>
      <c r="B1641" s="2">
        <v>10685</v>
      </c>
      <c r="C1641" s="2">
        <v>310</v>
      </c>
      <c r="D1641" s="2">
        <v>38</v>
      </c>
      <c r="E1641" s="2">
        <v>60</v>
      </c>
      <c r="F1641" s="2">
        <v>2</v>
      </c>
      <c r="G1641" s="2">
        <v>3</v>
      </c>
      <c r="H1641" s="2">
        <v>39</v>
      </c>
      <c r="I1641" s="2">
        <v>0</v>
      </c>
      <c r="J1641" t="str">
        <f>_xlfn.XLOOKUP(Table2[[#This Row],[Customer_ID]],Table1[Customer_ID],Table1[Customer_Name])</f>
        <v>Edison Littell</v>
      </c>
    </row>
    <row r="1642" spans="1:10" x14ac:dyDescent="0.35">
      <c r="A1642" s="4">
        <v>40846</v>
      </c>
      <c r="B1642" s="2">
        <v>10685</v>
      </c>
      <c r="C1642" s="2">
        <v>422</v>
      </c>
      <c r="D1642" s="2">
        <v>38</v>
      </c>
      <c r="E1642" s="2">
        <v>60</v>
      </c>
      <c r="F1642" s="2">
        <v>2</v>
      </c>
      <c r="G1642" s="2">
        <v>3</v>
      </c>
      <c r="H1642" s="2">
        <v>7</v>
      </c>
      <c r="I1642" s="2">
        <v>0</v>
      </c>
      <c r="J1642" t="str">
        <f>_xlfn.XLOOKUP(Table2[[#This Row],[Customer_ID]],Table1[Customer_ID],Table1[Customer_Name])</f>
        <v>Edison Littell</v>
      </c>
    </row>
    <row r="1643" spans="1:10" x14ac:dyDescent="0.35">
      <c r="A1643" s="4">
        <v>40847</v>
      </c>
      <c r="B1643" s="2">
        <v>10687</v>
      </c>
      <c r="C1643" s="2">
        <v>223</v>
      </c>
      <c r="D1643" s="2">
        <v>40</v>
      </c>
      <c r="E1643" s="2">
        <v>17</v>
      </c>
      <c r="F1643" s="2">
        <v>2</v>
      </c>
      <c r="G1643" s="2">
        <v>3</v>
      </c>
      <c r="H1643" s="2">
        <v>4</v>
      </c>
      <c r="I1643" s="2">
        <v>0</v>
      </c>
      <c r="J1643" t="str">
        <f>_xlfn.XLOOKUP(Table2[[#This Row],[Customer_ID]],Table1[Customer_ID],Table1[Customer_Name])</f>
        <v>Eleonora Eddinger</v>
      </c>
    </row>
    <row r="1644" spans="1:10" x14ac:dyDescent="0.35">
      <c r="A1644" s="4">
        <v>40847</v>
      </c>
      <c r="B1644" s="2">
        <v>10687</v>
      </c>
      <c r="C1644" s="2">
        <v>217</v>
      </c>
      <c r="D1644" s="2">
        <v>40</v>
      </c>
      <c r="E1644" s="2">
        <v>17</v>
      </c>
      <c r="F1644" s="2">
        <v>2</v>
      </c>
      <c r="G1644" s="2">
        <v>6</v>
      </c>
      <c r="H1644" s="2">
        <v>4</v>
      </c>
      <c r="I1644" s="2">
        <v>0</v>
      </c>
      <c r="J1644" t="str">
        <f>_xlfn.XLOOKUP(Table2[[#This Row],[Customer_ID]],Table1[Customer_ID],Table1[Customer_Name])</f>
        <v>Eleonora Eddinger</v>
      </c>
    </row>
    <row r="1645" spans="1:10" x14ac:dyDescent="0.35">
      <c r="A1645" s="4">
        <v>40847</v>
      </c>
      <c r="B1645" s="2">
        <v>10687</v>
      </c>
      <c r="C1645" s="2">
        <v>407</v>
      </c>
      <c r="D1645" s="2">
        <v>40</v>
      </c>
      <c r="E1645" s="2">
        <v>17</v>
      </c>
      <c r="F1645" s="2">
        <v>2</v>
      </c>
      <c r="G1645" s="2">
        <v>5</v>
      </c>
      <c r="H1645" s="2">
        <v>16</v>
      </c>
      <c r="I1645" s="2">
        <v>0</v>
      </c>
      <c r="J1645" t="str">
        <f>_xlfn.XLOOKUP(Table2[[#This Row],[Customer_ID]],Table1[Customer_ID],Table1[Customer_Name])</f>
        <v>Eleonora Eddinger</v>
      </c>
    </row>
    <row r="1646" spans="1:10" x14ac:dyDescent="0.35">
      <c r="A1646" s="4">
        <v>40848</v>
      </c>
      <c r="B1646" s="2">
        <v>10689</v>
      </c>
      <c r="C1646" s="2">
        <v>265</v>
      </c>
      <c r="D1646" s="2">
        <v>42</v>
      </c>
      <c r="E1646" s="2">
        <v>88</v>
      </c>
      <c r="F1646" s="2">
        <v>2</v>
      </c>
      <c r="G1646" s="2">
        <v>3</v>
      </c>
      <c r="H1646" s="2">
        <v>2</v>
      </c>
      <c r="I1646" s="2">
        <v>0</v>
      </c>
      <c r="J1646" t="str">
        <f>_xlfn.XLOOKUP(Table2[[#This Row],[Customer_ID]],Table1[Customer_ID],Table1[Customer_Name])</f>
        <v>Eliseo Mangual</v>
      </c>
    </row>
    <row r="1647" spans="1:10" x14ac:dyDescent="0.35">
      <c r="A1647" s="4">
        <v>40850</v>
      </c>
      <c r="B1647" s="2">
        <v>10691</v>
      </c>
      <c r="C1647" s="2">
        <v>274</v>
      </c>
      <c r="D1647" s="2">
        <v>44</v>
      </c>
      <c r="E1647" s="2">
        <v>14</v>
      </c>
      <c r="F1647" s="2">
        <v>2</v>
      </c>
      <c r="G1647" s="2">
        <v>9</v>
      </c>
      <c r="H1647" s="2">
        <v>3</v>
      </c>
      <c r="I1647" s="2">
        <v>0</v>
      </c>
      <c r="J1647" t="str">
        <f>_xlfn.XLOOKUP(Table2[[#This Row],[Customer_ID]],Table1[Customer_ID],Table1[Customer_Name])</f>
        <v>Eura Gordan</v>
      </c>
    </row>
    <row r="1648" spans="1:10" x14ac:dyDescent="0.35">
      <c r="A1648" s="4">
        <v>40850</v>
      </c>
      <c r="B1648" s="2">
        <v>10691</v>
      </c>
      <c r="C1648" s="2">
        <v>276</v>
      </c>
      <c r="D1648" s="2">
        <v>44</v>
      </c>
      <c r="E1648" s="2">
        <v>14</v>
      </c>
      <c r="F1648" s="2">
        <v>2</v>
      </c>
      <c r="G1648" s="2">
        <v>1</v>
      </c>
      <c r="H1648" s="2">
        <v>3</v>
      </c>
      <c r="I1648" s="2">
        <v>0</v>
      </c>
      <c r="J1648" t="str">
        <f>_xlfn.XLOOKUP(Table2[[#This Row],[Customer_ID]],Table1[Customer_ID],Table1[Customer_Name])</f>
        <v>Eura Gordan</v>
      </c>
    </row>
    <row r="1649" spans="1:10" x14ac:dyDescent="0.35">
      <c r="A1649" s="4">
        <v>40850</v>
      </c>
      <c r="B1649" s="2">
        <v>10691</v>
      </c>
      <c r="C1649" s="2">
        <v>282</v>
      </c>
      <c r="D1649" s="2">
        <v>44</v>
      </c>
      <c r="E1649" s="2">
        <v>14</v>
      </c>
      <c r="F1649" s="2">
        <v>2</v>
      </c>
      <c r="G1649" s="2">
        <v>1</v>
      </c>
      <c r="H1649" s="2">
        <v>3</v>
      </c>
      <c r="I1649" s="2">
        <v>0</v>
      </c>
      <c r="J1649" t="str">
        <f>_xlfn.XLOOKUP(Table2[[#This Row],[Customer_ID]],Table1[Customer_ID],Table1[Customer_Name])</f>
        <v>Eura Gordan</v>
      </c>
    </row>
    <row r="1650" spans="1:10" x14ac:dyDescent="0.35">
      <c r="A1650" s="4">
        <v>40850</v>
      </c>
      <c r="B1650" s="2">
        <v>10691</v>
      </c>
      <c r="C1650" s="2">
        <v>279</v>
      </c>
      <c r="D1650" s="2">
        <v>44</v>
      </c>
      <c r="E1650" s="2">
        <v>14</v>
      </c>
      <c r="F1650" s="2">
        <v>2</v>
      </c>
      <c r="G1650" s="2">
        <v>2</v>
      </c>
      <c r="H1650" s="2">
        <v>4</v>
      </c>
      <c r="I1650" s="2">
        <v>0</v>
      </c>
      <c r="J1650" t="str">
        <f>_xlfn.XLOOKUP(Table2[[#This Row],[Customer_ID]],Table1[Customer_ID],Table1[Customer_Name])</f>
        <v>Eura Gordan</v>
      </c>
    </row>
    <row r="1651" spans="1:10" x14ac:dyDescent="0.35">
      <c r="A1651" s="4">
        <v>40850</v>
      </c>
      <c r="B1651" s="2">
        <v>10691</v>
      </c>
      <c r="C1651" s="2">
        <v>275</v>
      </c>
      <c r="D1651" s="2">
        <v>44</v>
      </c>
      <c r="E1651" s="2">
        <v>14</v>
      </c>
      <c r="F1651" s="2">
        <v>2</v>
      </c>
      <c r="G1651" s="2">
        <v>2</v>
      </c>
      <c r="H1651" s="2">
        <v>3</v>
      </c>
      <c r="I1651" s="2">
        <v>0</v>
      </c>
      <c r="J1651" t="str">
        <f>_xlfn.XLOOKUP(Table2[[#This Row],[Customer_ID]],Table1[Customer_ID],Table1[Customer_Name])</f>
        <v>Eura Gordan</v>
      </c>
    </row>
    <row r="1652" spans="1:10" x14ac:dyDescent="0.35">
      <c r="A1652" s="4">
        <v>40853</v>
      </c>
      <c r="B1652" s="2">
        <v>10693</v>
      </c>
      <c r="C1652" s="2">
        <v>136</v>
      </c>
      <c r="D1652" s="2">
        <v>46</v>
      </c>
      <c r="E1652" s="2">
        <v>2</v>
      </c>
      <c r="F1652" s="2">
        <v>2</v>
      </c>
      <c r="G1652" s="2">
        <v>2</v>
      </c>
      <c r="H1652" s="2">
        <v>90</v>
      </c>
      <c r="I1652" s="2">
        <v>0</v>
      </c>
      <c r="J1652" t="str">
        <f>_xlfn.XLOOKUP(Table2[[#This Row],[Customer_ID]],Table1[Customer_ID],Table1[Customer_Name])</f>
        <v>Fay Cumbo</v>
      </c>
    </row>
    <row r="1653" spans="1:10" x14ac:dyDescent="0.35">
      <c r="A1653" s="4">
        <v>40853</v>
      </c>
      <c r="B1653" s="2">
        <v>10693</v>
      </c>
      <c r="C1653" s="2">
        <v>134</v>
      </c>
      <c r="D1653" s="2">
        <v>46</v>
      </c>
      <c r="E1653" s="2">
        <v>2</v>
      </c>
      <c r="F1653" s="2">
        <v>2</v>
      </c>
      <c r="G1653" s="2">
        <v>1</v>
      </c>
      <c r="H1653" s="2">
        <v>90</v>
      </c>
      <c r="I1653" s="2">
        <v>0</v>
      </c>
      <c r="J1653" t="str">
        <f>_xlfn.XLOOKUP(Table2[[#This Row],[Customer_ID]],Table1[Customer_ID],Table1[Customer_Name])</f>
        <v>Fay Cumbo</v>
      </c>
    </row>
    <row r="1654" spans="1:10" x14ac:dyDescent="0.35">
      <c r="A1654" s="4">
        <v>40853</v>
      </c>
      <c r="B1654" s="2">
        <v>10693</v>
      </c>
      <c r="C1654" s="2">
        <v>203</v>
      </c>
      <c r="D1654" s="2">
        <v>46</v>
      </c>
      <c r="E1654" s="2">
        <v>2</v>
      </c>
      <c r="F1654" s="2">
        <v>2</v>
      </c>
      <c r="G1654" s="2">
        <v>3</v>
      </c>
      <c r="H1654" s="2">
        <v>5</v>
      </c>
      <c r="I1654" s="2">
        <v>0</v>
      </c>
      <c r="J1654" t="str">
        <f>_xlfn.XLOOKUP(Table2[[#This Row],[Customer_ID]],Table1[Customer_ID],Table1[Customer_Name])</f>
        <v>Fay Cumbo</v>
      </c>
    </row>
    <row r="1655" spans="1:10" x14ac:dyDescent="0.35">
      <c r="A1655" s="4">
        <v>40853</v>
      </c>
      <c r="B1655" s="2">
        <v>10693</v>
      </c>
      <c r="C1655" s="2">
        <v>201</v>
      </c>
      <c r="D1655" s="2">
        <v>46</v>
      </c>
      <c r="E1655" s="2">
        <v>2</v>
      </c>
      <c r="F1655" s="2">
        <v>2</v>
      </c>
      <c r="G1655" s="2">
        <v>3</v>
      </c>
      <c r="H1655" s="2">
        <v>4</v>
      </c>
      <c r="I1655" s="2">
        <v>0</v>
      </c>
      <c r="J1655" t="str">
        <f>_xlfn.XLOOKUP(Table2[[#This Row],[Customer_ID]],Table1[Customer_ID],Table1[Customer_Name])</f>
        <v>Fay Cumbo</v>
      </c>
    </row>
    <row r="1656" spans="1:10" x14ac:dyDescent="0.35">
      <c r="A1656" s="4">
        <v>40854</v>
      </c>
      <c r="B1656" s="2">
        <v>10695</v>
      </c>
      <c r="C1656" s="2">
        <v>149</v>
      </c>
      <c r="D1656" s="2">
        <v>48</v>
      </c>
      <c r="E1656" s="2">
        <v>19</v>
      </c>
      <c r="F1656" s="2">
        <v>2</v>
      </c>
      <c r="G1656" s="2">
        <v>1</v>
      </c>
      <c r="H1656" s="2">
        <v>717</v>
      </c>
      <c r="I1656" s="2">
        <v>0</v>
      </c>
      <c r="J1656" t="str">
        <f>_xlfn.XLOOKUP(Table2[[#This Row],[Customer_ID]],Table1[Customer_ID],Table1[Customer_Name])</f>
        <v>Federico Flores</v>
      </c>
    </row>
    <row r="1657" spans="1:10" x14ac:dyDescent="0.35">
      <c r="A1657" s="4">
        <v>40854</v>
      </c>
      <c r="B1657" s="2">
        <v>10695</v>
      </c>
      <c r="C1657" s="2">
        <v>163</v>
      </c>
      <c r="D1657" s="2">
        <v>48</v>
      </c>
      <c r="E1657" s="2">
        <v>19</v>
      </c>
      <c r="F1657" s="2">
        <v>2</v>
      </c>
      <c r="G1657" s="2">
        <v>1</v>
      </c>
      <c r="H1657" s="2">
        <v>2533</v>
      </c>
      <c r="I1657" s="2">
        <v>0</v>
      </c>
      <c r="J1657" t="str">
        <f>_xlfn.XLOOKUP(Table2[[#This Row],[Customer_ID]],Table1[Customer_ID],Table1[Customer_Name])</f>
        <v>Federico Flores</v>
      </c>
    </row>
    <row r="1658" spans="1:10" x14ac:dyDescent="0.35">
      <c r="A1658" s="4">
        <v>40854</v>
      </c>
      <c r="B1658" s="2">
        <v>10695</v>
      </c>
      <c r="C1658" s="2">
        <v>150</v>
      </c>
      <c r="D1658" s="2">
        <v>48</v>
      </c>
      <c r="E1658" s="2">
        <v>19</v>
      </c>
      <c r="F1658" s="2">
        <v>2</v>
      </c>
      <c r="G1658" s="2">
        <v>1</v>
      </c>
      <c r="H1658" s="2">
        <v>534</v>
      </c>
      <c r="I1658" s="2">
        <v>0</v>
      </c>
      <c r="J1658" t="str">
        <f>_xlfn.XLOOKUP(Table2[[#This Row],[Customer_ID]],Table1[Customer_ID],Table1[Customer_Name])</f>
        <v>Federico Flores</v>
      </c>
    </row>
    <row r="1659" spans="1:10" x14ac:dyDescent="0.35">
      <c r="A1659" s="4">
        <v>40855</v>
      </c>
      <c r="B1659" s="2">
        <v>10697</v>
      </c>
      <c r="C1659" s="2">
        <v>433</v>
      </c>
      <c r="D1659" s="2">
        <v>50</v>
      </c>
      <c r="E1659" s="2">
        <v>82</v>
      </c>
      <c r="F1659" s="2">
        <v>2</v>
      </c>
      <c r="G1659" s="2">
        <v>6</v>
      </c>
      <c r="H1659" s="2">
        <v>14</v>
      </c>
      <c r="I1659" s="2">
        <v>0</v>
      </c>
      <c r="J1659" t="str">
        <f>_xlfn.XLOOKUP(Table2[[#This Row],[Customer_ID]],Table1[Customer_ID],Table1[Customer_Name])</f>
        <v>Gia Junkin</v>
      </c>
    </row>
    <row r="1660" spans="1:10" x14ac:dyDescent="0.35">
      <c r="A1660" s="4">
        <v>40855</v>
      </c>
      <c r="B1660" s="2">
        <v>10697</v>
      </c>
      <c r="C1660" s="2">
        <v>155</v>
      </c>
      <c r="D1660" s="2">
        <v>50</v>
      </c>
      <c r="E1660" s="2">
        <v>82</v>
      </c>
      <c r="F1660" s="2">
        <v>2</v>
      </c>
      <c r="G1660" s="2">
        <v>4</v>
      </c>
      <c r="H1660" s="2">
        <v>852</v>
      </c>
      <c r="I1660" s="2">
        <v>0</v>
      </c>
      <c r="J1660" t="str">
        <f>_xlfn.XLOOKUP(Table2[[#This Row],[Customer_ID]],Table1[Customer_ID],Table1[Customer_Name])</f>
        <v>Gia Junkin</v>
      </c>
    </row>
    <row r="1661" spans="1:10" x14ac:dyDescent="0.35">
      <c r="A1661" s="4">
        <v>40855</v>
      </c>
      <c r="B1661" s="2">
        <v>10697</v>
      </c>
      <c r="C1661" s="2">
        <v>429</v>
      </c>
      <c r="D1661" s="2">
        <v>50</v>
      </c>
      <c r="E1661" s="2">
        <v>82</v>
      </c>
      <c r="F1661" s="2">
        <v>2</v>
      </c>
      <c r="G1661" s="2">
        <v>2</v>
      </c>
      <c r="H1661" s="2">
        <v>14</v>
      </c>
      <c r="I1661" s="2">
        <v>0</v>
      </c>
      <c r="J1661" t="str">
        <f>_xlfn.XLOOKUP(Table2[[#This Row],[Customer_ID]],Table1[Customer_ID],Table1[Customer_Name])</f>
        <v>Gia Junkin</v>
      </c>
    </row>
    <row r="1662" spans="1:10" x14ac:dyDescent="0.35">
      <c r="A1662" s="4">
        <v>40855</v>
      </c>
      <c r="B1662" s="2">
        <v>10697</v>
      </c>
      <c r="C1662" s="2">
        <v>439</v>
      </c>
      <c r="D1662" s="2">
        <v>50</v>
      </c>
      <c r="E1662" s="2">
        <v>82</v>
      </c>
      <c r="F1662" s="2">
        <v>2</v>
      </c>
      <c r="G1662" s="2">
        <v>2</v>
      </c>
      <c r="H1662" s="2">
        <v>10</v>
      </c>
      <c r="I1662" s="2">
        <v>0</v>
      </c>
      <c r="J1662" t="str">
        <f>_xlfn.XLOOKUP(Table2[[#This Row],[Customer_ID]],Table1[Customer_ID],Table1[Customer_Name])</f>
        <v>Gia Junkin</v>
      </c>
    </row>
    <row r="1663" spans="1:10" x14ac:dyDescent="0.35">
      <c r="A1663" s="4">
        <v>40856</v>
      </c>
      <c r="B1663" s="2">
        <v>10699</v>
      </c>
      <c r="C1663" s="2">
        <v>18</v>
      </c>
      <c r="D1663" s="2">
        <v>52</v>
      </c>
      <c r="E1663" s="2">
        <v>32</v>
      </c>
      <c r="F1663" s="2">
        <v>2</v>
      </c>
      <c r="G1663" s="2">
        <v>1</v>
      </c>
      <c r="H1663" s="2">
        <v>154</v>
      </c>
      <c r="I1663" s="2">
        <v>0</v>
      </c>
      <c r="J1663" t="str">
        <f>_xlfn.XLOOKUP(Table2[[#This Row],[Customer_ID]],Table1[Customer_ID],Table1[Customer_Name])</f>
        <v>Glennis Going</v>
      </c>
    </row>
    <row r="1664" spans="1:10" x14ac:dyDescent="0.35">
      <c r="A1664" s="4">
        <v>40860</v>
      </c>
      <c r="B1664" s="2">
        <v>10701</v>
      </c>
      <c r="C1664" s="2">
        <v>48</v>
      </c>
      <c r="D1664" s="2">
        <v>54</v>
      </c>
      <c r="E1664" s="2">
        <v>42</v>
      </c>
      <c r="F1664" s="2">
        <v>2</v>
      </c>
      <c r="G1664" s="2">
        <v>5</v>
      </c>
      <c r="H1664" s="2">
        <v>3</v>
      </c>
      <c r="I1664" s="2">
        <v>0</v>
      </c>
      <c r="J1664" t="str">
        <f>_xlfn.XLOOKUP(Table2[[#This Row],[Customer_ID]],Table1[Customer_ID],Table1[Customer_Name])</f>
        <v>Harmony Burell</v>
      </c>
    </row>
    <row r="1665" spans="1:10" x14ac:dyDescent="0.35">
      <c r="A1665" s="4">
        <v>40860</v>
      </c>
      <c r="B1665" s="2">
        <v>10701</v>
      </c>
      <c r="C1665" s="2">
        <v>36</v>
      </c>
      <c r="D1665" s="2">
        <v>54</v>
      </c>
      <c r="E1665" s="2">
        <v>42</v>
      </c>
      <c r="F1665" s="2">
        <v>2</v>
      </c>
      <c r="G1665" s="2">
        <v>3</v>
      </c>
      <c r="H1665" s="2">
        <v>10</v>
      </c>
      <c r="I1665" s="2">
        <v>0</v>
      </c>
      <c r="J1665" t="str">
        <f>_xlfn.XLOOKUP(Table2[[#This Row],[Customer_ID]],Table1[Customer_ID],Table1[Customer_Name])</f>
        <v>Harmony Burell</v>
      </c>
    </row>
    <row r="1666" spans="1:10" x14ac:dyDescent="0.35">
      <c r="A1666" s="4">
        <v>40860</v>
      </c>
      <c r="B1666" s="2">
        <v>10701</v>
      </c>
      <c r="C1666" s="2">
        <v>17</v>
      </c>
      <c r="D1666" s="2">
        <v>54</v>
      </c>
      <c r="E1666" s="2">
        <v>42</v>
      </c>
      <c r="F1666" s="2">
        <v>2</v>
      </c>
      <c r="G1666" s="2">
        <v>1</v>
      </c>
      <c r="H1666" s="2">
        <v>294</v>
      </c>
      <c r="I1666" s="2">
        <v>0</v>
      </c>
      <c r="J1666" t="str">
        <f>_xlfn.XLOOKUP(Table2[[#This Row],[Customer_ID]],Table1[Customer_ID],Table1[Customer_Name])</f>
        <v>Harmony Burell</v>
      </c>
    </row>
    <row r="1667" spans="1:10" x14ac:dyDescent="0.35">
      <c r="A1667" s="4">
        <v>40861</v>
      </c>
      <c r="B1667" s="2">
        <v>10703</v>
      </c>
      <c r="C1667" s="2">
        <v>145</v>
      </c>
      <c r="D1667" s="2">
        <v>56</v>
      </c>
      <c r="E1667" s="2">
        <v>50</v>
      </c>
      <c r="F1667" s="2">
        <v>2</v>
      </c>
      <c r="G1667" s="2">
        <v>7</v>
      </c>
      <c r="H1667" s="2">
        <v>66</v>
      </c>
      <c r="I1667" s="2">
        <v>0</v>
      </c>
      <c r="J1667" t="str">
        <f>_xlfn.XLOOKUP(Table2[[#This Row],[Customer_ID]],Table1[Customer_ID],Table1[Customer_Name])</f>
        <v>Hsiu Hinrichs</v>
      </c>
    </row>
    <row r="1668" spans="1:10" x14ac:dyDescent="0.35">
      <c r="A1668" s="4">
        <v>40861</v>
      </c>
      <c r="B1668" s="2">
        <v>10703</v>
      </c>
      <c r="C1668" s="2">
        <v>308</v>
      </c>
      <c r="D1668" s="2">
        <v>56</v>
      </c>
      <c r="E1668" s="2">
        <v>50</v>
      </c>
      <c r="F1668" s="2">
        <v>2</v>
      </c>
      <c r="G1668" s="2">
        <v>2</v>
      </c>
      <c r="H1668" s="2">
        <v>29</v>
      </c>
      <c r="I1668" s="2">
        <v>0</v>
      </c>
      <c r="J1668" t="str">
        <f>_xlfn.XLOOKUP(Table2[[#This Row],[Customer_ID]],Table1[Customer_ID],Table1[Customer_Name])</f>
        <v>Hsiu Hinrichs</v>
      </c>
    </row>
    <row r="1669" spans="1:10" x14ac:dyDescent="0.35">
      <c r="A1669" s="4">
        <v>40861</v>
      </c>
      <c r="B1669" s="2">
        <v>10703</v>
      </c>
      <c r="C1669" s="2">
        <v>218</v>
      </c>
      <c r="D1669" s="2">
        <v>56</v>
      </c>
      <c r="E1669" s="2">
        <v>50</v>
      </c>
      <c r="F1669" s="2">
        <v>2</v>
      </c>
      <c r="G1669" s="2">
        <v>2</v>
      </c>
      <c r="H1669" s="2">
        <v>5</v>
      </c>
      <c r="I1669" s="2">
        <v>0</v>
      </c>
      <c r="J1669" t="str">
        <f>_xlfn.XLOOKUP(Table2[[#This Row],[Customer_ID]],Table1[Customer_ID],Table1[Customer_Name])</f>
        <v>Hsiu Hinrichs</v>
      </c>
    </row>
    <row r="1670" spans="1:10" x14ac:dyDescent="0.35">
      <c r="A1670" s="4">
        <v>40862</v>
      </c>
      <c r="B1670" s="2">
        <v>10705</v>
      </c>
      <c r="C1670" s="2">
        <v>167</v>
      </c>
      <c r="D1670" s="2">
        <v>58</v>
      </c>
      <c r="E1670" s="2">
        <v>41</v>
      </c>
      <c r="F1670" s="2">
        <v>2</v>
      </c>
      <c r="G1670" s="2">
        <v>1</v>
      </c>
      <c r="H1670" s="2">
        <v>278</v>
      </c>
      <c r="I1670" s="2">
        <v>0</v>
      </c>
      <c r="J1670" t="str">
        <f>_xlfn.XLOOKUP(Table2[[#This Row],[Customer_ID]],Table1[Customer_ID],Table1[Customer_Name])</f>
        <v>Isis Isom</v>
      </c>
    </row>
    <row r="1671" spans="1:10" x14ac:dyDescent="0.35">
      <c r="A1671" s="4">
        <v>40862</v>
      </c>
      <c r="B1671" s="2">
        <v>10705</v>
      </c>
      <c r="C1671" s="2">
        <v>174</v>
      </c>
      <c r="D1671" s="2">
        <v>58</v>
      </c>
      <c r="E1671" s="2">
        <v>41</v>
      </c>
      <c r="F1671" s="2">
        <v>2</v>
      </c>
      <c r="G1671" s="2">
        <v>2</v>
      </c>
      <c r="H1671" s="2">
        <v>1486</v>
      </c>
      <c r="I1671" s="2">
        <v>0</v>
      </c>
      <c r="J1671" t="str">
        <f>_xlfn.XLOOKUP(Table2[[#This Row],[Customer_ID]],Table1[Customer_ID],Table1[Customer_Name])</f>
        <v>Isis Isom</v>
      </c>
    </row>
    <row r="1672" spans="1:10" x14ac:dyDescent="0.35">
      <c r="A1672" s="4">
        <v>40863</v>
      </c>
      <c r="B1672" s="2">
        <v>10707</v>
      </c>
      <c r="C1672" s="2">
        <v>175</v>
      </c>
      <c r="D1672" s="2">
        <v>60</v>
      </c>
      <c r="E1672" s="2">
        <v>80</v>
      </c>
      <c r="F1672" s="2">
        <v>2</v>
      </c>
      <c r="G1672" s="2">
        <v>3</v>
      </c>
      <c r="H1672" s="2">
        <v>270</v>
      </c>
      <c r="I1672" s="2">
        <v>0</v>
      </c>
      <c r="J1672" t="str">
        <f>_xlfn.XLOOKUP(Table2[[#This Row],[Customer_ID]],Table1[Customer_ID],Table1[Customer_Name])</f>
        <v>Janetta Jhonson</v>
      </c>
    </row>
    <row r="1673" spans="1:10" x14ac:dyDescent="0.35">
      <c r="A1673" s="4">
        <v>40863</v>
      </c>
      <c r="B1673" s="2">
        <v>10707</v>
      </c>
      <c r="C1673" s="2">
        <v>173</v>
      </c>
      <c r="D1673" s="2">
        <v>60</v>
      </c>
      <c r="E1673" s="2">
        <v>80</v>
      </c>
      <c r="F1673" s="2">
        <v>2</v>
      </c>
      <c r="G1673" s="2">
        <v>1</v>
      </c>
      <c r="H1673" s="2">
        <v>205</v>
      </c>
      <c r="I1673" s="2">
        <v>0</v>
      </c>
      <c r="J1673" t="str">
        <f>_xlfn.XLOOKUP(Table2[[#This Row],[Customer_ID]],Table1[Customer_ID],Table1[Customer_Name])</f>
        <v>Janetta Jhonson</v>
      </c>
    </row>
    <row r="1674" spans="1:10" x14ac:dyDescent="0.35">
      <c r="A1674" s="4">
        <v>40863</v>
      </c>
      <c r="B1674" s="2">
        <v>10707</v>
      </c>
      <c r="C1674" s="2">
        <v>239</v>
      </c>
      <c r="D1674" s="2">
        <v>60</v>
      </c>
      <c r="E1674" s="2">
        <v>80</v>
      </c>
      <c r="F1674" s="2">
        <v>2</v>
      </c>
      <c r="G1674" s="2">
        <v>1</v>
      </c>
      <c r="H1674" s="2">
        <v>20</v>
      </c>
      <c r="I1674" s="2">
        <v>0</v>
      </c>
      <c r="J1674" t="str">
        <f>_xlfn.XLOOKUP(Table2[[#This Row],[Customer_ID]],Table1[Customer_ID],Table1[Customer_Name])</f>
        <v>Janetta Jhonson</v>
      </c>
    </row>
    <row r="1675" spans="1:10" x14ac:dyDescent="0.35">
      <c r="A1675" s="4">
        <v>40864</v>
      </c>
      <c r="B1675" s="2">
        <v>10709</v>
      </c>
      <c r="C1675" s="2">
        <v>278</v>
      </c>
      <c r="D1675" s="2">
        <v>62</v>
      </c>
      <c r="E1675" s="2">
        <v>53</v>
      </c>
      <c r="F1675" s="2">
        <v>2</v>
      </c>
      <c r="G1675" s="2">
        <v>1</v>
      </c>
      <c r="H1675" s="2">
        <v>2</v>
      </c>
      <c r="I1675" s="2">
        <v>0</v>
      </c>
      <c r="J1675" t="str">
        <f>_xlfn.XLOOKUP(Table2[[#This Row],[Customer_ID]],Table1[Customer_ID],Table1[Customer_Name])</f>
        <v>Jeanine Chavez</v>
      </c>
    </row>
    <row r="1676" spans="1:10" x14ac:dyDescent="0.35">
      <c r="A1676" s="4">
        <v>40864</v>
      </c>
      <c r="B1676" s="2">
        <v>10709</v>
      </c>
      <c r="C1676" s="2">
        <v>232</v>
      </c>
      <c r="D1676" s="2">
        <v>62</v>
      </c>
      <c r="E1676" s="2">
        <v>53</v>
      </c>
      <c r="F1676" s="2">
        <v>2</v>
      </c>
      <c r="G1676" s="2">
        <v>6</v>
      </c>
      <c r="H1676" s="2">
        <v>4</v>
      </c>
      <c r="I1676" s="2">
        <v>0</v>
      </c>
      <c r="J1676" t="str">
        <f>_xlfn.XLOOKUP(Table2[[#This Row],[Customer_ID]],Table1[Customer_ID],Table1[Customer_Name])</f>
        <v>Jeanine Chavez</v>
      </c>
    </row>
    <row r="1677" spans="1:10" x14ac:dyDescent="0.35">
      <c r="A1677" s="4">
        <v>40864</v>
      </c>
      <c r="B1677" s="2">
        <v>10709</v>
      </c>
      <c r="C1677" s="2">
        <v>314</v>
      </c>
      <c r="D1677" s="2">
        <v>62</v>
      </c>
      <c r="E1677" s="2">
        <v>53</v>
      </c>
      <c r="F1677" s="2">
        <v>2</v>
      </c>
      <c r="G1677" s="2">
        <v>1</v>
      </c>
      <c r="H1677" s="2">
        <v>4</v>
      </c>
      <c r="I1677" s="2">
        <v>0</v>
      </c>
      <c r="J1677" t="str">
        <f>_xlfn.XLOOKUP(Table2[[#This Row],[Customer_ID]],Table1[Customer_ID],Table1[Customer_Name])</f>
        <v>Jeanine Chavez</v>
      </c>
    </row>
    <row r="1678" spans="1:10" x14ac:dyDescent="0.35">
      <c r="A1678" s="4">
        <v>40868</v>
      </c>
      <c r="B1678" s="2">
        <v>10711</v>
      </c>
      <c r="C1678" s="2">
        <v>436</v>
      </c>
      <c r="D1678" s="2">
        <v>64</v>
      </c>
      <c r="E1678" s="2">
        <v>10</v>
      </c>
      <c r="F1678" s="2">
        <v>2</v>
      </c>
      <c r="G1678" s="2">
        <v>9</v>
      </c>
      <c r="H1678" s="2">
        <v>8</v>
      </c>
      <c r="I1678" s="2">
        <v>0</v>
      </c>
      <c r="J1678" t="str">
        <f>_xlfn.XLOOKUP(Table2[[#This Row],[Customer_ID]],Table1[Customer_ID],Table1[Customer_Name])</f>
        <v>Josephine Escoto</v>
      </c>
    </row>
    <row r="1679" spans="1:10" x14ac:dyDescent="0.35">
      <c r="A1679" s="4">
        <v>40868</v>
      </c>
      <c r="B1679" s="2">
        <v>10711</v>
      </c>
      <c r="C1679" s="2">
        <v>40</v>
      </c>
      <c r="D1679" s="2">
        <v>64</v>
      </c>
      <c r="E1679" s="2">
        <v>10</v>
      </c>
      <c r="F1679" s="2">
        <v>2</v>
      </c>
      <c r="G1679" s="2">
        <v>2</v>
      </c>
      <c r="H1679" s="2">
        <v>15</v>
      </c>
      <c r="I1679" s="2">
        <v>0</v>
      </c>
      <c r="J1679" t="str">
        <f>_xlfn.XLOOKUP(Table2[[#This Row],[Customer_ID]],Table1[Customer_ID],Table1[Customer_Name])</f>
        <v>Josephine Escoto</v>
      </c>
    </row>
    <row r="1680" spans="1:10" x14ac:dyDescent="0.35">
      <c r="A1680" s="4">
        <v>40868</v>
      </c>
      <c r="B1680" s="2">
        <v>10711</v>
      </c>
      <c r="C1680" s="2">
        <v>301</v>
      </c>
      <c r="D1680" s="2">
        <v>64</v>
      </c>
      <c r="E1680" s="2">
        <v>10</v>
      </c>
      <c r="F1680" s="2">
        <v>2</v>
      </c>
      <c r="G1680" s="2">
        <v>5</v>
      </c>
      <c r="H1680" s="2">
        <v>26</v>
      </c>
      <c r="I1680" s="2">
        <v>0</v>
      </c>
      <c r="J1680" t="str">
        <f>_xlfn.XLOOKUP(Table2[[#This Row],[Customer_ID]],Table1[Customer_ID],Table1[Customer_Name])</f>
        <v>Josephine Escoto</v>
      </c>
    </row>
    <row r="1681" spans="1:10" x14ac:dyDescent="0.35">
      <c r="A1681" s="4">
        <v>40869</v>
      </c>
      <c r="B1681" s="2">
        <v>10713</v>
      </c>
      <c r="C1681" s="2">
        <v>287</v>
      </c>
      <c r="D1681" s="2">
        <v>66</v>
      </c>
      <c r="F1681" s="2">
        <v>2</v>
      </c>
      <c r="G1681" s="2">
        <v>6</v>
      </c>
      <c r="H1681" s="2">
        <v>3</v>
      </c>
      <c r="I1681" s="2">
        <v>0</v>
      </c>
      <c r="J1681" t="str">
        <f>_xlfn.XLOOKUP(Table2[[#This Row],[Customer_ID]],Table1[Customer_ID],Table1[Customer_Name])</f>
        <v>Julieta Hard</v>
      </c>
    </row>
    <row r="1682" spans="1:10" x14ac:dyDescent="0.35">
      <c r="A1682" s="4">
        <v>40869</v>
      </c>
      <c r="B1682" s="2">
        <v>10713</v>
      </c>
      <c r="C1682" s="2">
        <v>319</v>
      </c>
      <c r="D1682" s="2">
        <v>66</v>
      </c>
      <c r="F1682" s="2">
        <v>2</v>
      </c>
      <c r="G1682" s="2">
        <v>1</v>
      </c>
      <c r="H1682" s="2">
        <v>4</v>
      </c>
      <c r="I1682" s="2">
        <v>0</v>
      </c>
      <c r="J1682" t="str">
        <f>_xlfn.XLOOKUP(Table2[[#This Row],[Customer_ID]],Table1[Customer_ID],Table1[Customer_Name])</f>
        <v>Julieta Hard</v>
      </c>
    </row>
    <row r="1683" spans="1:10" x14ac:dyDescent="0.35">
      <c r="A1683" s="4">
        <v>40869</v>
      </c>
      <c r="B1683" s="2">
        <v>10713</v>
      </c>
      <c r="C1683" s="2">
        <v>253</v>
      </c>
      <c r="D1683" s="2">
        <v>66</v>
      </c>
      <c r="F1683" s="2">
        <v>2</v>
      </c>
      <c r="G1683" s="2">
        <v>1</v>
      </c>
      <c r="H1683" s="2">
        <v>3</v>
      </c>
      <c r="I1683" s="2">
        <v>0</v>
      </c>
      <c r="J1683" t="str">
        <f>_xlfn.XLOOKUP(Table2[[#This Row],[Customer_ID]],Table1[Customer_ID],Table1[Customer_Name])</f>
        <v>Julieta Hard</v>
      </c>
    </row>
    <row r="1684" spans="1:10" x14ac:dyDescent="0.35">
      <c r="A1684" s="4">
        <v>40869</v>
      </c>
      <c r="B1684" s="2">
        <v>10713</v>
      </c>
      <c r="C1684" s="2">
        <v>370</v>
      </c>
      <c r="D1684" s="2">
        <v>66</v>
      </c>
      <c r="F1684" s="2">
        <v>2</v>
      </c>
      <c r="G1684" s="2">
        <v>2</v>
      </c>
      <c r="H1684" s="2">
        <v>7</v>
      </c>
      <c r="I1684" s="2">
        <v>0</v>
      </c>
      <c r="J1684" t="str">
        <f>_xlfn.XLOOKUP(Table2[[#This Row],[Customer_ID]],Table1[Customer_ID],Table1[Customer_Name])</f>
        <v>Julieta Hard</v>
      </c>
    </row>
    <row r="1685" spans="1:10" x14ac:dyDescent="0.35">
      <c r="A1685" s="4">
        <v>40870</v>
      </c>
      <c r="B1685" s="2">
        <v>10715</v>
      </c>
      <c r="C1685" s="2">
        <v>418</v>
      </c>
      <c r="D1685" s="2">
        <v>68</v>
      </c>
      <c r="F1685" s="2">
        <v>2</v>
      </c>
      <c r="G1685" s="2">
        <v>2</v>
      </c>
      <c r="H1685" s="2">
        <v>20</v>
      </c>
      <c r="I1685" s="2">
        <v>0</v>
      </c>
      <c r="J1685" t="str">
        <f>_xlfn.XLOOKUP(Table2[[#This Row],[Customer_ID]],Table1[Customer_ID],Table1[Customer_Name])</f>
        <v>Kandy Tully</v>
      </c>
    </row>
    <row r="1686" spans="1:10" x14ac:dyDescent="0.35">
      <c r="A1686" s="4">
        <v>40870</v>
      </c>
      <c r="B1686" s="2">
        <v>10715</v>
      </c>
      <c r="C1686" s="2">
        <v>450</v>
      </c>
      <c r="D1686" s="2">
        <v>68</v>
      </c>
      <c r="F1686" s="2">
        <v>2</v>
      </c>
      <c r="G1686" s="2">
        <v>1</v>
      </c>
      <c r="H1686" s="2">
        <v>11</v>
      </c>
      <c r="I1686" s="2">
        <v>0</v>
      </c>
      <c r="J1686" t="str">
        <f>_xlfn.XLOOKUP(Table2[[#This Row],[Customer_ID]],Table1[Customer_ID],Table1[Customer_Name])</f>
        <v>Kandy Tully</v>
      </c>
    </row>
    <row r="1687" spans="1:10" x14ac:dyDescent="0.35">
      <c r="A1687" s="4">
        <v>40871</v>
      </c>
      <c r="B1687" s="2">
        <v>10717</v>
      </c>
      <c r="C1687" s="2">
        <v>52</v>
      </c>
      <c r="D1687" s="2">
        <v>70</v>
      </c>
      <c r="F1687" s="2">
        <v>2</v>
      </c>
      <c r="G1687" s="2">
        <v>3</v>
      </c>
      <c r="H1687" s="2">
        <v>5</v>
      </c>
      <c r="I1687" s="2">
        <v>0</v>
      </c>
      <c r="J1687" t="str">
        <f>_xlfn.XLOOKUP(Table2[[#This Row],[Customer_ID]],Table1[Customer_ID],Table1[Customer_Name])</f>
        <v>Karina Lisle</v>
      </c>
    </row>
    <row r="1688" spans="1:10" x14ac:dyDescent="0.35">
      <c r="A1688" s="4">
        <v>40871</v>
      </c>
      <c r="B1688" s="2">
        <v>10717</v>
      </c>
      <c r="C1688" s="2">
        <v>66</v>
      </c>
      <c r="D1688" s="2">
        <v>70</v>
      </c>
      <c r="F1688" s="2">
        <v>2</v>
      </c>
      <c r="G1688" s="2">
        <v>2</v>
      </c>
      <c r="H1688" s="2">
        <v>5</v>
      </c>
      <c r="I1688" s="2">
        <v>0</v>
      </c>
      <c r="J1688" t="str">
        <f>_xlfn.XLOOKUP(Table2[[#This Row],[Customer_ID]],Table1[Customer_ID],Table1[Customer_Name])</f>
        <v>Karina Lisle</v>
      </c>
    </row>
    <row r="1689" spans="1:10" x14ac:dyDescent="0.35">
      <c r="A1689" s="4">
        <v>40871</v>
      </c>
      <c r="B1689" s="2">
        <v>10717</v>
      </c>
      <c r="C1689" s="2">
        <v>31</v>
      </c>
      <c r="D1689" s="2">
        <v>70</v>
      </c>
      <c r="F1689" s="2">
        <v>2</v>
      </c>
      <c r="G1689" s="2">
        <v>8</v>
      </c>
      <c r="H1689" s="2">
        <v>8</v>
      </c>
      <c r="I1689" s="2">
        <v>0</v>
      </c>
      <c r="J1689" t="str">
        <f>_xlfn.XLOOKUP(Table2[[#This Row],[Customer_ID]],Table1[Customer_ID],Table1[Customer_Name])</f>
        <v>Karina Lisle</v>
      </c>
    </row>
    <row r="1690" spans="1:10" x14ac:dyDescent="0.35">
      <c r="A1690" s="4">
        <v>40874</v>
      </c>
      <c r="B1690" s="2">
        <v>10719</v>
      </c>
      <c r="C1690" s="2">
        <v>182</v>
      </c>
      <c r="D1690" s="2">
        <v>72</v>
      </c>
      <c r="F1690" s="2">
        <v>2</v>
      </c>
      <c r="G1690" s="2">
        <v>4</v>
      </c>
      <c r="H1690" s="2">
        <v>598</v>
      </c>
      <c r="I1690" s="2">
        <v>0</v>
      </c>
      <c r="J1690" t="str">
        <f>_xlfn.XLOOKUP(Table2[[#This Row],[Customer_ID]],Table1[Customer_ID],Table1[Customer_Name])</f>
        <v>Karla Munoz</v>
      </c>
    </row>
    <row r="1691" spans="1:10" x14ac:dyDescent="0.35">
      <c r="A1691" s="4">
        <v>40874</v>
      </c>
      <c r="B1691" s="2">
        <v>10719</v>
      </c>
      <c r="C1691" s="2">
        <v>8</v>
      </c>
      <c r="D1691" s="2">
        <v>72</v>
      </c>
      <c r="F1691" s="2">
        <v>2</v>
      </c>
      <c r="G1691" s="2">
        <v>4</v>
      </c>
      <c r="H1691" s="2">
        <v>380</v>
      </c>
      <c r="I1691" s="2">
        <v>0</v>
      </c>
      <c r="J1691" t="str">
        <f>_xlfn.XLOOKUP(Table2[[#This Row],[Customer_ID]],Table1[Customer_ID],Table1[Customer_Name])</f>
        <v>Karla Munoz</v>
      </c>
    </row>
    <row r="1692" spans="1:10" x14ac:dyDescent="0.35">
      <c r="A1692" s="4">
        <v>40874</v>
      </c>
      <c r="B1692" s="2">
        <v>10719</v>
      </c>
      <c r="C1692" s="2">
        <v>181</v>
      </c>
      <c r="D1692" s="2">
        <v>72</v>
      </c>
      <c r="F1692" s="2">
        <v>2</v>
      </c>
      <c r="G1692" s="2">
        <v>2</v>
      </c>
      <c r="H1692" s="2">
        <v>482</v>
      </c>
      <c r="I1692" s="2">
        <v>0</v>
      </c>
      <c r="J1692" t="str">
        <f>_xlfn.XLOOKUP(Table2[[#This Row],[Customer_ID]],Table1[Customer_ID],Table1[Customer_Name])</f>
        <v>Karla Munoz</v>
      </c>
    </row>
    <row r="1693" spans="1:10" x14ac:dyDescent="0.35">
      <c r="A1693" s="4">
        <v>40876</v>
      </c>
      <c r="B1693" s="2">
        <v>10721</v>
      </c>
      <c r="C1693" s="2">
        <v>6</v>
      </c>
      <c r="D1693" s="2">
        <v>74</v>
      </c>
      <c r="F1693" s="2">
        <v>2</v>
      </c>
      <c r="G1693" s="2">
        <v>7</v>
      </c>
      <c r="H1693" s="2">
        <v>489</v>
      </c>
      <c r="I1693" s="2">
        <v>0</v>
      </c>
      <c r="J1693" t="str">
        <f>_xlfn.XLOOKUP(Table2[[#This Row],[Customer_ID]],Table1[Customer_ID],Table1[Customer_Name])</f>
        <v>Kazuko Serrato</v>
      </c>
    </row>
    <row r="1694" spans="1:10" x14ac:dyDescent="0.35">
      <c r="A1694" s="4">
        <v>40877</v>
      </c>
      <c r="B1694" s="2">
        <v>10723</v>
      </c>
      <c r="C1694" s="2">
        <v>183</v>
      </c>
      <c r="D1694" s="2">
        <v>76</v>
      </c>
      <c r="F1694" s="2">
        <v>2</v>
      </c>
      <c r="G1694" s="2">
        <v>5</v>
      </c>
      <c r="H1694" s="2">
        <v>370</v>
      </c>
      <c r="I1694" s="2">
        <v>0</v>
      </c>
      <c r="J1694" t="str">
        <f>_xlfn.XLOOKUP(Table2[[#This Row],[Customer_ID]],Table1[Customer_ID],Table1[Customer_Name])</f>
        <v>Khalilah Demaria</v>
      </c>
    </row>
    <row r="1695" spans="1:10" x14ac:dyDescent="0.35">
      <c r="A1695" s="4">
        <v>40878</v>
      </c>
      <c r="B1695" s="2">
        <v>10725</v>
      </c>
      <c r="C1695" s="2">
        <v>72</v>
      </c>
      <c r="D1695" s="2">
        <v>78</v>
      </c>
      <c r="F1695" s="2">
        <v>2</v>
      </c>
      <c r="G1695" s="2">
        <v>8</v>
      </c>
      <c r="H1695" s="2">
        <v>6</v>
      </c>
      <c r="I1695" s="2">
        <v>0</v>
      </c>
      <c r="J1695" t="str">
        <f>_xlfn.XLOOKUP(Table2[[#This Row],[Customer_ID]],Table1[Customer_ID],Table1[Customer_Name])</f>
        <v>Lacey Rollison</v>
      </c>
    </row>
    <row r="1696" spans="1:10" x14ac:dyDescent="0.35">
      <c r="A1696" s="4">
        <v>40878</v>
      </c>
      <c r="B1696" s="2">
        <v>10725</v>
      </c>
      <c r="C1696" s="2">
        <v>84</v>
      </c>
      <c r="D1696" s="2">
        <v>78</v>
      </c>
      <c r="F1696" s="2">
        <v>2</v>
      </c>
      <c r="G1696" s="2">
        <v>6</v>
      </c>
      <c r="H1696" s="2">
        <v>6</v>
      </c>
      <c r="I1696" s="2">
        <v>0</v>
      </c>
      <c r="J1696" t="str">
        <f>_xlfn.XLOOKUP(Table2[[#This Row],[Customer_ID]],Table1[Customer_ID],Table1[Customer_Name])</f>
        <v>Lacey Rollison</v>
      </c>
    </row>
    <row r="1697" spans="1:10" x14ac:dyDescent="0.35">
      <c r="A1697" s="4">
        <v>40878</v>
      </c>
      <c r="B1697" s="2">
        <v>10725</v>
      </c>
      <c r="C1697" s="2">
        <v>77</v>
      </c>
      <c r="D1697" s="2">
        <v>78</v>
      </c>
      <c r="F1697" s="2">
        <v>2</v>
      </c>
      <c r="G1697" s="2">
        <v>1</v>
      </c>
      <c r="H1697" s="2">
        <v>13</v>
      </c>
      <c r="I1697" s="2">
        <v>0</v>
      </c>
      <c r="J1697" t="str">
        <f>_xlfn.XLOOKUP(Table2[[#This Row],[Customer_ID]],Table1[Customer_ID],Table1[Customer_Name])</f>
        <v>Lacey Rollison</v>
      </c>
    </row>
    <row r="1698" spans="1:10" x14ac:dyDescent="0.35">
      <c r="A1698" s="4">
        <v>40881</v>
      </c>
      <c r="B1698" s="2">
        <v>10727</v>
      </c>
      <c r="C1698" s="2">
        <v>122</v>
      </c>
      <c r="D1698" s="2">
        <v>80</v>
      </c>
      <c r="F1698" s="2">
        <v>2</v>
      </c>
      <c r="G1698" s="2">
        <v>3</v>
      </c>
      <c r="H1698" s="2">
        <v>433</v>
      </c>
      <c r="I1698" s="2">
        <v>0</v>
      </c>
      <c r="J1698" t="str">
        <f>_xlfn.XLOOKUP(Table2[[#This Row],[Customer_ID]],Table1[Customer_ID],Table1[Customer_Name])</f>
        <v>Lashaunda Mynatt</v>
      </c>
    </row>
    <row r="1699" spans="1:10" x14ac:dyDescent="0.35">
      <c r="A1699" s="4">
        <v>40881</v>
      </c>
      <c r="B1699" s="2">
        <v>10727</v>
      </c>
      <c r="C1699" s="2">
        <v>121</v>
      </c>
      <c r="D1699" s="2">
        <v>80</v>
      </c>
      <c r="F1699" s="2">
        <v>2</v>
      </c>
      <c r="G1699" s="2">
        <v>2</v>
      </c>
      <c r="H1699" s="2">
        <v>763</v>
      </c>
      <c r="I1699" s="2">
        <v>0</v>
      </c>
      <c r="J1699" t="str">
        <f>_xlfn.XLOOKUP(Table2[[#This Row],[Customer_ID]],Table1[Customer_ID],Table1[Customer_Name])</f>
        <v>Lashaunda Mynatt</v>
      </c>
    </row>
    <row r="1700" spans="1:10" x14ac:dyDescent="0.35">
      <c r="A1700" s="4">
        <v>40881</v>
      </c>
      <c r="B1700" s="2">
        <v>10727</v>
      </c>
      <c r="C1700" s="2">
        <v>125</v>
      </c>
      <c r="D1700" s="2">
        <v>80</v>
      </c>
      <c r="F1700" s="2">
        <v>2</v>
      </c>
      <c r="G1700" s="2">
        <v>6</v>
      </c>
      <c r="H1700" s="2">
        <v>930</v>
      </c>
      <c r="I1700" s="2">
        <v>0</v>
      </c>
      <c r="J1700" t="str">
        <f>_xlfn.XLOOKUP(Table2[[#This Row],[Customer_ID]],Table1[Customer_ID],Table1[Customer_Name])</f>
        <v>Lashaunda Mynatt</v>
      </c>
    </row>
    <row r="1701" spans="1:10" x14ac:dyDescent="0.35">
      <c r="A1701" s="4">
        <v>40882</v>
      </c>
      <c r="B1701" s="2">
        <v>10729</v>
      </c>
      <c r="C1701" s="2">
        <v>73</v>
      </c>
      <c r="D1701" s="2">
        <v>82</v>
      </c>
      <c r="F1701" s="2">
        <v>2</v>
      </c>
      <c r="G1701" s="2">
        <v>4</v>
      </c>
      <c r="H1701" s="2">
        <v>5</v>
      </c>
      <c r="I1701" s="2">
        <v>0</v>
      </c>
      <c r="J1701" t="str">
        <f>_xlfn.XLOOKUP(Table2[[#This Row],[Customer_ID]],Table1[Customer_ID],Table1[Customer_Name])</f>
        <v>Lesley Rue</v>
      </c>
    </row>
    <row r="1702" spans="1:10" x14ac:dyDescent="0.35">
      <c r="A1702" s="4">
        <v>40882</v>
      </c>
      <c r="B1702" s="2">
        <v>10729</v>
      </c>
      <c r="C1702" s="2">
        <v>70</v>
      </c>
      <c r="D1702" s="2">
        <v>82</v>
      </c>
      <c r="F1702" s="2">
        <v>2</v>
      </c>
      <c r="G1702" s="2">
        <v>1</v>
      </c>
      <c r="H1702" s="2">
        <v>6</v>
      </c>
      <c r="I1702" s="2">
        <v>0</v>
      </c>
      <c r="J1702" t="str">
        <f>_xlfn.XLOOKUP(Table2[[#This Row],[Customer_ID]],Table1[Customer_ID],Table1[Customer_Name])</f>
        <v>Lesley Rue</v>
      </c>
    </row>
    <row r="1703" spans="1:10" x14ac:dyDescent="0.35">
      <c r="A1703" s="4">
        <v>40882</v>
      </c>
      <c r="B1703" s="2">
        <v>10729</v>
      </c>
      <c r="C1703" s="2">
        <v>80</v>
      </c>
      <c r="D1703" s="2">
        <v>82</v>
      </c>
      <c r="F1703" s="2">
        <v>2</v>
      </c>
      <c r="G1703" s="2">
        <v>6</v>
      </c>
      <c r="H1703" s="2">
        <v>23</v>
      </c>
      <c r="I1703" s="2">
        <v>0</v>
      </c>
      <c r="J1703" t="str">
        <f>_xlfn.XLOOKUP(Table2[[#This Row],[Customer_ID]],Table1[Customer_ID],Table1[Customer_Name])</f>
        <v>Lesley Rue</v>
      </c>
    </row>
    <row r="1704" spans="1:10" x14ac:dyDescent="0.35">
      <c r="A1704" s="4">
        <v>40884</v>
      </c>
      <c r="B1704" s="2">
        <v>10731</v>
      </c>
      <c r="C1704" s="2">
        <v>195</v>
      </c>
      <c r="D1704" s="2">
        <v>84</v>
      </c>
      <c r="F1704" s="2">
        <v>2</v>
      </c>
      <c r="G1704" s="2">
        <v>3</v>
      </c>
      <c r="H1704" s="2">
        <v>6</v>
      </c>
      <c r="I1704" s="2">
        <v>0</v>
      </c>
      <c r="J1704" t="str">
        <f>_xlfn.XLOOKUP(Table2[[#This Row],[Customer_ID]],Table1[Customer_ID],Table1[Customer_Name])</f>
        <v>Linn Muncy</v>
      </c>
    </row>
    <row r="1705" spans="1:10" x14ac:dyDescent="0.35">
      <c r="A1705" s="4">
        <v>40884</v>
      </c>
      <c r="B1705" s="2">
        <v>10731</v>
      </c>
      <c r="C1705" s="2">
        <v>252</v>
      </c>
      <c r="D1705" s="2">
        <v>84</v>
      </c>
      <c r="F1705" s="2">
        <v>2</v>
      </c>
      <c r="G1705" s="2">
        <v>8</v>
      </c>
      <c r="H1705" s="2">
        <v>27</v>
      </c>
      <c r="I1705" s="2">
        <v>0</v>
      </c>
      <c r="J1705" t="str">
        <f>_xlfn.XLOOKUP(Table2[[#This Row],[Customer_ID]],Table1[Customer_ID],Table1[Customer_Name])</f>
        <v>Linn Muncy</v>
      </c>
    </row>
    <row r="1706" spans="1:10" x14ac:dyDescent="0.35">
      <c r="A1706" s="4">
        <v>40885</v>
      </c>
      <c r="B1706" s="2">
        <v>10733</v>
      </c>
      <c r="C1706" s="2">
        <v>320</v>
      </c>
      <c r="D1706" s="2">
        <v>86</v>
      </c>
      <c r="F1706" s="2">
        <v>2</v>
      </c>
      <c r="G1706" s="2">
        <v>2</v>
      </c>
      <c r="H1706" s="2">
        <v>2</v>
      </c>
      <c r="I1706" s="2">
        <v>0</v>
      </c>
      <c r="J1706" t="str">
        <f>_xlfn.XLOOKUP(Table2[[#This Row],[Customer_ID]],Table1[Customer_ID],Table1[Customer_Name])</f>
        <v>Louann Luck</v>
      </c>
    </row>
    <row r="1707" spans="1:10" x14ac:dyDescent="0.35">
      <c r="A1707" s="4">
        <v>40885</v>
      </c>
      <c r="B1707" s="2">
        <v>10733</v>
      </c>
      <c r="C1707" s="2">
        <v>234</v>
      </c>
      <c r="D1707" s="2">
        <v>86</v>
      </c>
      <c r="F1707" s="2">
        <v>2</v>
      </c>
      <c r="G1707" s="2">
        <v>4</v>
      </c>
      <c r="H1707" s="2">
        <v>27</v>
      </c>
      <c r="I1707" s="2">
        <v>0</v>
      </c>
      <c r="J1707" t="str">
        <f>_xlfn.XLOOKUP(Table2[[#This Row],[Customer_ID]],Table1[Customer_ID],Table1[Customer_Name])</f>
        <v>Louann Luck</v>
      </c>
    </row>
    <row r="1708" spans="1:10" x14ac:dyDescent="0.35">
      <c r="A1708" s="4">
        <v>40885</v>
      </c>
      <c r="B1708" s="2">
        <v>10733</v>
      </c>
      <c r="C1708" s="2">
        <v>396</v>
      </c>
      <c r="D1708" s="2">
        <v>86</v>
      </c>
      <c r="F1708" s="2">
        <v>2</v>
      </c>
      <c r="G1708" s="2">
        <v>5</v>
      </c>
      <c r="H1708" s="2">
        <v>15</v>
      </c>
      <c r="I1708" s="2">
        <v>0</v>
      </c>
      <c r="J1708" t="str">
        <f>_xlfn.XLOOKUP(Table2[[#This Row],[Customer_ID]],Table1[Customer_ID],Table1[Customer_Name])</f>
        <v>Louann Luck</v>
      </c>
    </row>
    <row r="1709" spans="1:10" x14ac:dyDescent="0.35">
      <c r="A1709" s="4">
        <v>40888</v>
      </c>
      <c r="B1709" s="2">
        <v>10735</v>
      </c>
      <c r="C1709" s="2">
        <v>415</v>
      </c>
      <c r="D1709" s="2">
        <v>88</v>
      </c>
      <c r="F1709" s="2">
        <v>2</v>
      </c>
      <c r="G1709" s="2">
        <v>1</v>
      </c>
      <c r="H1709" s="2">
        <v>20</v>
      </c>
      <c r="I1709" s="2">
        <v>0</v>
      </c>
      <c r="J1709" t="str">
        <f>_xlfn.XLOOKUP(Table2[[#This Row],[Customer_ID]],Table1[Customer_ID],Table1[Customer_Name])</f>
        <v>Marlene Daniell</v>
      </c>
    </row>
    <row r="1710" spans="1:10" x14ac:dyDescent="0.35">
      <c r="A1710" s="4">
        <v>40888</v>
      </c>
      <c r="B1710" s="2">
        <v>10735</v>
      </c>
      <c r="C1710" s="2">
        <v>447</v>
      </c>
      <c r="D1710" s="2">
        <v>88</v>
      </c>
      <c r="F1710" s="2">
        <v>2</v>
      </c>
      <c r="G1710" s="2">
        <v>5</v>
      </c>
      <c r="H1710" s="2">
        <v>38</v>
      </c>
      <c r="I1710" s="2">
        <v>0</v>
      </c>
      <c r="J1710" t="str">
        <f>_xlfn.XLOOKUP(Table2[[#This Row],[Customer_ID]],Table1[Customer_ID],Table1[Customer_Name])</f>
        <v>Marlene Daniell</v>
      </c>
    </row>
    <row r="1711" spans="1:10" x14ac:dyDescent="0.35">
      <c r="A1711" s="4">
        <v>40889</v>
      </c>
      <c r="B1711" s="2">
        <v>10737</v>
      </c>
      <c r="C1711" s="2">
        <v>207</v>
      </c>
      <c r="D1711" s="2">
        <v>90</v>
      </c>
      <c r="F1711" s="2">
        <v>2</v>
      </c>
      <c r="G1711" s="2">
        <v>2</v>
      </c>
      <c r="H1711" s="2">
        <v>4</v>
      </c>
      <c r="I1711" s="2">
        <v>0</v>
      </c>
      <c r="J1711" t="str">
        <f>_xlfn.XLOOKUP(Table2[[#This Row],[Customer_ID]],Table1[Customer_ID],Table1[Customer_Name])</f>
        <v>Maxwell Wengert</v>
      </c>
    </row>
    <row r="1712" spans="1:10" x14ac:dyDescent="0.35">
      <c r="A1712" s="4">
        <v>40889</v>
      </c>
      <c r="B1712" s="2">
        <v>10737</v>
      </c>
      <c r="C1712" s="2">
        <v>208</v>
      </c>
      <c r="D1712" s="2">
        <v>90</v>
      </c>
      <c r="F1712" s="2">
        <v>2</v>
      </c>
      <c r="G1712" s="2">
        <v>3</v>
      </c>
      <c r="H1712" s="2">
        <v>4</v>
      </c>
      <c r="I1712" s="2">
        <v>0</v>
      </c>
      <c r="J1712" t="str">
        <f>_xlfn.XLOOKUP(Table2[[#This Row],[Customer_ID]],Table1[Customer_ID],Table1[Customer_Name])</f>
        <v>Maxwell Wengert</v>
      </c>
    </row>
    <row r="1713" spans="1:10" x14ac:dyDescent="0.35">
      <c r="A1713" s="4">
        <v>40890</v>
      </c>
      <c r="B1713" s="2">
        <v>10739</v>
      </c>
      <c r="C1713" s="2">
        <v>316</v>
      </c>
      <c r="D1713" s="2">
        <v>92</v>
      </c>
      <c r="F1713" s="2">
        <v>2</v>
      </c>
      <c r="G1713" s="2">
        <v>1</v>
      </c>
      <c r="H1713" s="2">
        <v>13</v>
      </c>
      <c r="I1713" s="2">
        <v>0</v>
      </c>
      <c r="J1713" t="str">
        <f>_xlfn.XLOOKUP(Table2[[#This Row],[Customer_ID]],Table1[Customer_ID],Table1[Customer_Name])</f>
        <v>Mercedes Godin</v>
      </c>
    </row>
    <row r="1714" spans="1:10" x14ac:dyDescent="0.35">
      <c r="A1714" s="4">
        <v>40890</v>
      </c>
      <c r="B1714" s="2">
        <v>10739</v>
      </c>
      <c r="C1714" s="2">
        <v>322</v>
      </c>
      <c r="D1714" s="2">
        <v>92</v>
      </c>
      <c r="F1714" s="2">
        <v>2</v>
      </c>
      <c r="G1714" s="2">
        <v>5</v>
      </c>
      <c r="H1714" s="2">
        <v>2</v>
      </c>
      <c r="I1714" s="2">
        <v>0</v>
      </c>
      <c r="J1714" t="str">
        <f>_xlfn.XLOOKUP(Table2[[#This Row],[Customer_ID]],Table1[Customer_ID],Table1[Customer_Name])</f>
        <v>Mercedes Godin</v>
      </c>
    </row>
    <row r="1715" spans="1:10" x14ac:dyDescent="0.35">
      <c r="A1715" s="4">
        <v>40892</v>
      </c>
      <c r="B1715" s="2">
        <v>10741</v>
      </c>
      <c r="C1715" s="2">
        <v>65</v>
      </c>
      <c r="D1715" s="2">
        <v>94</v>
      </c>
      <c r="F1715" s="2">
        <v>2</v>
      </c>
      <c r="G1715" s="2">
        <v>9</v>
      </c>
      <c r="H1715" s="2">
        <v>20</v>
      </c>
      <c r="I1715" s="2">
        <v>0</v>
      </c>
      <c r="J1715" t="str">
        <f>_xlfn.XLOOKUP(Table2[[#This Row],[Customer_ID]],Table1[Customer_ID],Table1[Customer_Name])</f>
        <v>Michelina Manners</v>
      </c>
    </row>
    <row r="1716" spans="1:10" x14ac:dyDescent="0.35">
      <c r="A1716" s="4">
        <v>40895</v>
      </c>
      <c r="B1716" s="2">
        <v>10743</v>
      </c>
      <c r="C1716" s="2">
        <v>133</v>
      </c>
      <c r="D1716" s="2">
        <v>96</v>
      </c>
      <c r="F1716" s="2">
        <v>2</v>
      </c>
      <c r="G1716" s="2">
        <v>3</v>
      </c>
      <c r="H1716" s="2">
        <v>95</v>
      </c>
      <c r="I1716" s="2">
        <v>0</v>
      </c>
      <c r="J1716" t="str">
        <f>_xlfn.XLOOKUP(Table2[[#This Row],[Customer_ID]],Table1[Customer_ID],Table1[Customer_Name])</f>
        <v>Miss Henslee</v>
      </c>
    </row>
    <row r="1717" spans="1:10" x14ac:dyDescent="0.35">
      <c r="A1717" s="4">
        <v>40896</v>
      </c>
      <c r="B1717" s="2">
        <v>10745</v>
      </c>
      <c r="C1717" s="2">
        <v>143</v>
      </c>
      <c r="D1717" s="2">
        <v>98</v>
      </c>
      <c r="F1717" s="2">
        <v>2</v>
      </c>
      <c r="G1717" s="2">
        <v>9</v>
      </c>
      <c r="H1717" s="2">
        <v>158</v>
      </c>
      <c r="I1717" s="2">
        <v>0</v>
      </c>
      <c r="J1717" t="str">
        <f>_xlfn.XLOOKUP(Table2[[#This Row],[Customer_ID]],Table1[Customer_ID],Table1[Customer_Name])</f>
        <v>Myesha Mumm</v>
      </c>
    </row>
    <row r="1718" spans="1:10" x14ac:dyDescent="0.35">
      <c r="A1718" s="4">
        <v>40896</v>
      </c>
      <c r="B1718" s="2">
        <v>10745</v>
      </c>
      <c r="C1718" s="2">
        <v>138</v>
      </c>
      <c r="D1718" s="2">
        <v>98</v>
      </c>
      <c r="F1718" s="2">
        <v>2</v>
      </c>
      <c r="G1718" s="2">
        <v>5</v>
      </c>
      <c r="H1718" s="2">
        <v>126</v>
      </c>
      <c r="I1718" s="2">
        <v>0</v>
      </c>
      <c r="J1718" t="str">
        <f>_xlfn.XLOOKUP(Table2[[#This Row],[Customer_ID]],Table1[Customer_ID],Table1[Customer_Name])</f>
        <v>Myesha Mumm</v>
      </c>
    </row>
    <row r="1719" spans="1:10" x14ac:dyDescent="0.35">
      <c r="A1719" s="4">
        <v>40896</v>
      </c>
      <c r="B1719" s="2">
        <v>10745</v>
      </c>
      <c r="C1719" s="2">
        <v>169</v>
      </c>
      <c r="D1719" s="2">
        <v>98</v>
      </c>
      <c r="F1719" s="2">
        <v>2</v>
      </c>
      <c r="G1719" s="2">
        <v>1</v>
      </c>
      <c r="H1719" s="2">
        <v>204</v>
      </c>
      <c r="I1719" s="2">
        <v>0</v>
      </c>
      <c r="J1719" t="str">
        <f>_xlfn.XLOOKUP(Table2[[#This Row],[Customer_ID]],Table1[Customer_ID],Table1[Customer_Name])</f>
        <v>Myesha Mumm</v>
      </c>
    </row>
    <row r="1720" spans="1:10" x14ac:dyDescent="0.35">
      <c r="A1720" s="4">
        <v>40896</v>
      </c>
      <c r="B1720" s="2">
        <v>10745</v>
      </c>
      <c r="C1720" s="2">
        <v>141</v>
      </c>
      <c r="D1720" s="2">
        <v>98</v>
      </c>
      <c r="F1720" s="2">
        <v>2</v>
      </c>
      <c r="G1720" s="2">
        <v>1</v>
      </c>
      <c r="H1720" s="2">
        <v>180</v>
      </c>
      <c r="I1720" s="2">
        <v>0</v>
      </c>
      <c r="J1720" t="str">
        <f>_xlfn.XLOOKUP(Table2[[#This Row],[Customer_ID]],Table1[Customer_ID],Table1[Customer_Name])</f>
        <v>Myesha Mumm</v>
      </c>
    </row>
    <row r="1721" spans="1:10" x14ac:dyDescent="0.35">
      <c r="A1721" s="4">
        <v>40897</v>
      </c>
      <c r="B1721" s="2">
        <v>10747</v>
      </c>
      <c r="C1721" s="2">
        <v>83</v>
      </c>
      <c r="D1721" s="2">
        <v>100</v>
      </c>
      <c r="E1721" s="2">
        <v>18</v>
      </c>
      <c r="F1721" s="2">
        <v>2</v>
      </c>
      <c r="G1721" s="2">
        <v>1</v>
      </c>
      <c r="H1721" s="2">
        <v>6</v>
      </c>
      <c r="I1721" s="2">
        <v>0</v>
      </c>
      <c r="J1721" t="str">
        <f>_xlfn.XLOOKUP(Table2[[#This Row],[Customer_ID]],Table1[Customer_ID],Table1[Customer_Name])</f>
        <v>Natividad Grandberry</v>
      </c>
    </row>
    <row r="1722" spans="1:10" x14ac:dyDescent="0.35">
      <c r="A1722" s="4">
        <v>40897</v>
      </c>
      <c r="B1722" s="2">
        <v>10747</v>
      </c>
      <c r="C1722" s="2">
        <v>164</v>
      </c>
      <c r="D1722" s="2">
        <v>100</v>
      </c>
      <c r="E1722" s="2">
        <v>18</v>
      </c>
      <c r="F1722" s="2">
        <v>2</v>
      </c>
      <c r="G1722" s="2">
        <v>3</v>
      </c>
      <c r="H1722" s="2">
        <v>763</v>
      </c>
      <c r="I1722" s="2">
        <v>0</v>
      </c>
      <c r="J1722" t="str">
        <f>_xlfn.XLOOKUP(Table2[[#This Row],[Customer_ID]],Table1[Customer_ID],Table1[Customer_Name])</f>
        <v>Natividad Grandberry</v>
      </c>
    </row>
    <row r="1723" spans="1:10" x14ac:dyDescent="0.35">
      <c r="A1723" s="4">
        <v>40897</v>
      </c>
      <c r="B1723" s="2">
        <v>10747</v>
      </c>
      <c r="C1723" s="2">
        <v>43</v>
      </c>
      <c r="D1723" s="2">
        <v>100</v>
      </c>
      <c r="E1723" s="2">
        <v>18</v>
      </c>
      <c r="F1723" s="2">
        <v>2</v>
      </c>
      <c r="G1723" s="2">
        <v>4</v>
      </c>
      <c r="H1723" s="2">
        <v>41</v>
      </c>
      <c r="I1723" s="2">
        <v>0</v>
      </c>
      <c r="J1723" t="str">
        <f>_xlfn.XLOOKUP(Table2[[#This Row],[Customer_ID]],Table1[Customer_ID],Table1[Customer_Name])</f>
        <v>Natividad Grandberry</v>
      </c>
    </row>
    <row r="1724" spans="1:10" x14ac:dyDescent="0.35">
      <c r="A1724" s="4">
        <v>40897</v>
      </c>
      <c r="B1724" s="2">
        <v>10747</v>
      </c>
      <c r="C1724" s="2">
        <v>47</v>
      </c>
      <c r="D1724" s="2">
        <v>100</v>
      </c>
      <c r="E1724" s="2">
        <v>18</v>
      </c>
      <c r="F1724" s="2">
        <v>2</v>
      </c>
      <c r="G1724" s="2">
        <v>4</v>
      </c>
      <c r="H1724" s="2">
        <v>66</v>
      </c>
      <c r="I1724" s="2">
        <v>0</v>
      </c>
      <c r="J1724" t="str">
        <f>_xlfn.XLOOKUP(Table2[[#This Row],[Customer_ID]],Table1[Customer_ID],Table1[Customer_Name])</f>
        <v>Natividad Grandberry</v>
      </c>
    </row>
    <row r="1725" spans="1:10" x14ac:dyDescent="0.35">
      <c r="A1725" s="4">
        <v>40898</v>
      </c>
      <c r="B1725" s="2">
        <v>10749</v>
      </c>
      <c r="C1725" s="2">
        <v>326</v>
      </c>
      <c r="D1725" s="2">
        <v>2</v>
      </c>
      <c r="E1725" s="2">
        <v>22</v>
      </c>
      <c r="F1725" s="2">
        <v>2</v>
      </c>
      <c r="G1725" s="2">
        <v>6</v>
      </c>
      <c r="H1725" s="2">
        <v>44</v>
      </c>
      <c r="I1725" s="2">
        <v>0</v>
      </c>
      <c r="J1725" t="str">
        <f>_xlfn.XLOOKUP(Table2[[#This Row],[Customer_ID]],Table1[Customer_ID],Table1[Customer_Name])</f>
        <v>Alaine Kindig</v>
      </c>
    </row>
    <row r="1726" spans="1:10" x14ac:dyDescent="0.35">
      <c r="A1726" s="4">
        <v>40898</v>
      </c>
      <c r="B1726" s="2">
        <v>10749</v>
      </c>
      <c r="C1726" s="2">
        <v>87</v>
      </c>
      <c r="D1726" s="2">
        <v>2</v>
      </c>
      <c r="E1726" s="2">
        <v>22</v>
      </c>
      <c r="F1726" s="2">
        <v>2</v>
      </c>
      <c r="G1726" s="2">
        <v>6</v>
      </c>
      <c r="H1726" s="2">
        <v>11</v>
      </c>
      <c r="I1726" s="2">
        <v>0</v>
      </c>
      <c r="J1726" t="str">
        <f>_xlfn.XLOOKUP(Table2[[#This Row],[Customer_ID]],Table1[Customer_ID],Table1[Customer_Name])</f>
        <v>Alaine Kindig</v>
      </c>
    </row>
    <row r="1727" spans="1:10" x14ac:dyDescent="0.35">
      <c r="A1727" s="4">
        <v>40898</v>
      </c>
      <c r="B1727" s="2">
        <v>10749</v>
      </c>
      <c r="C1727" s="2">
        <v>194</v>
      </c>
      <c r="D1727" s="2">
        <v>2</v>
      </c>
      <c r="E1727" s="2">
        <v>22</v>
      </c>
      <c r="F1727" s="2">
        <v>2</v>
      </c>
      <c r="G1727" s="2">
        <v>5</v>
      </c>
      <c r="H1727" s="2">
        <v>13</v>
      </c>
      <c r="I1727" s="2">
        <v>0</v>
      </c>
      <c r="J1727" t="str">
        <f>_xlfn.XLOOKUP(Table2[[#This Row],[Customer_ID]],Table1[Customer_ID],Table1[Customer_Name])</f>
        <v>Alaine Kindig</v>
      </c>
    </row>
    <row r="1728" spans="1:10" x14ac:dyDescent="0.35">
      <c r="A1728" s="4">
        <v>40902</v>
      </c>
      <c r="B1728" s="2">
        <v>10751</v>
      </c>
      <c r="C1728" s="2">
        <v>400</v>
      </c>
      <c r="D1728" s="2">
        <v>4</v>
      </c>
      <c r="E1728" s="2">
        <v>68</v>
      </c>
      <c r="F1728" s="2">
        <v>2</v>
      </c>
      <c r="G1728" s="2">
        <v>1</v>
      </c>
      <c r="H1728" s="2">
        <v>15</v>
      </c>
      <c r="I1728" s="2">
        <v>0</v>
      </c>
      <c r="J1728" t="str">
        <f>_xlfn.XLOOKUP(Table2[[#This Row],[Customer_ID]],Table1[Customer_ID],Table1[Customer_Name])</f>
        <v>Andreas Armour</v>
      </c>
    </row>
    <row r="1729" spans="1:10" x14ac:dyDescent="0.35">
      <c r="A1729" s="4">
        <v>40902</v>
      </c>
      <c r="B1729" s="2">
        <v>10751</v>
      </c>
      <c r="C1729" s="2">
        <v>266</v>
      </c>
      <c r="D1729" s="2">
        <v>4</v>
      </c>
      <c r="E1729" s="2">
        <v>68</v>
      </c>
      <c r="F1729" s="2">
        <v>2</v>
      </c>
      <c r="G1729" s="2">
        <v>7</v>
      </c>
      <c r="H1729" s="2">
        <v>14</v>
      </c>
      <c r="I1729" s="2">
        <v>0</v>
      </c>
      <c r="J1729" t="str">
        <f>_xlfn.XLOOKUP(Table2[[#This Row],[Customer_ID]],Table1[Customer_ID],Table1[Customer_Name])</f>
        <v>Andreas Armour</v>
      </c>
    </row>
    <row r="1730" spans="1:10" x14ac:dyDescent="0.35">
      <c r="A1730" s="4">
        <v>40902</v>
      </c>
      <c r="B1730" s="2">
        <v>10751</v>
      </c>
      <c r="C1730" s="2">
        <v>298</v>
      </c>
      <c r="D1730" s="2">
        <v>4</v>
      </c>
      <c r="E1730" s="2">
        <v>68</v>
      </c>
      <c r="F1730" s="2">
        <v>2</v>
      </c>
      <c r="G1730" s="2">
        <v>2</v>
      </c>
      <c r="H1730" s="2">
        <v>4</v>
      </c>
      <c r="I1730" s="2">
        <v>0</v>
      </c>
      <c r="J1730" t="str">
        <f>_xlfn.XLOOKUP(Table2[[#This Row],[Customer_ID]],Table1[Customer_ID],Table1[Customer_Name])</f>
        <v>Andreas Armour</v>
      </c>
    </row>
    <row r="1731" spans="1:10" x14ac:dyDescent="0.35">
      <c r="A1731" s="4">
        <v>40902</v>
      </c>
      <c r="B1731" s="2">
        <v>10751</v>
      </c>
      <c r="C1731" s="2">
        <v>198</v>
      </c>
      <c r="D1731" s="2">
        <v>4</v>
      </c>
      <c r="E1731" s="2">
        <v>68</v>
      </c>
      <c r="F1731" s="2">
        <v>2</v>
      </c>
      <c r="G1731" s="2">
        <v>7</v>
      </c>
      <c r="H1731" s="2">
        <v>3</v>
      </c>
      <c r="I1731" s="2">
        <v>0</v>
      </c>
      <c r="J1731" t="str">
        <f>_xlfn.XLOOKUP(Table2[[#This Row],[Customer_ID]],Table1[Customer_ID],Table1[Customer_Name])</f>
        <v>Andreas Armour</v>
      </c>
    </row>
    <row r="1732" spans="1:10" x14ac:dyDescent="0.35">
      <c r="A1732" s="4">
        <v>40903</v>
      </c>
      <c r="B1732" s="2">
        <v>10753</v>
      </c>
      <c r="C1732" s="2">
        <v>75</v>
      </c>
      <c r="D1732" s="2">
        <v>6</v>
      </c>
      <c r="E1732" s="2">
        <v>53</v>
      </c>
      <c r="F1732" s="2">
        <v>2</v>
      </c>
      <c r="G1732" s="2">
        <v>2</v>
      </c>
      <c r="H1732" s="2">
        <v>12</v>
      </c>
      <c r="I1732" s="2">
        <v>0</v>
      </c>
      <c r="J1732" t="str">
        <f>_xlfn.XLOOKUP(Table2[[#This Row],[Customer_ID]],Table1[Customer_ID],Table1[Customer_Name])</f>
        <v>Anjelica Usrey</v>
      </c>
    </row>
    <row r="1733" spans="1:10" x14ac:dyDescent="0.35">
      <c r="A1733" s="4">
        <v>40903</v>
      </c>
      <c r="B1733" s="2">
        <v>10753</v>
      </c>
      <c r="C1733" s="2">
        <v>86</v>
      </c>
      <c r="D1733" s="2">
        <v>6</v>
      </c>
      <c r="E1733" s="2">
        <v>53</v>
      </c>
      <c r="F1733" s="2">
        <v>2</v>
      </c>
      <c r="G1733" s="2">
        <v>1</v>
      </c>
      <c r="H1733" s="2">
        <v>22</v>
      </c>
      <c r="I1733" s="2">
        <v>0</v>
      </c>
      <c r="J1733" t="str">
        <f>_xlfn.XLOOKUP(Table2[[#This Row],[Customer_ID]],Table1[Customer_ID],Table1[Customer_Name])</f>
        <v>Anjelica Usrey</v>
      </c>
    </row>
    <row r="1734" spans="1:10" x14ac:dyDescent="0.35">
      <c r="A1734" s="4">
        <v>40904</v>
      </c>
      <c r="B1734" s="2">
        <v>10755</v>
      </c>
      <c r="C1734" s="2">
        <v>79</v>
      </c>
      <c r="D1734" s="2">
        <v>8</v>
      </c>
      <c r="E1734" s="2">
        <v>60</v>
      </c>
      <c r="F1734" s="2">
        <v>2</v>
      </c>
      <c r="G1734" s="2">
        <v>3</v>
      </c>
      <c r="H1734" s="2">
        <v>5</v>
      </c>
      <c r="I1734" s="2">
        <v>0</v>
      </c>
      <c r="J1734" t="str">
        <f>_xlfn.XLOOKUP(Table2[[#This Row],[Customer_ID]],Table1[Customer_ID],Table1[Customer_Name])</f>
        <v>Ashley Ables</v>
      </c>
    </row>
    <row r="1735" spans="1:10" x14ac:dyDescent="0.35">
      <c r="A1735" s="4">
        <v>40904</v>
      </c>
      <c r="B1735" s="2">
        <v>10755</v>
      </c>
      <c r="C1735" s="2">
        <v>359</v>
      </c>
      <c r="D1735" s="2">
        <v>8</v>
      </c>
      <c r="E1735" s="2">
        <v>60</v>
      </c>
      <c r="F1735" s="2">
        <v>2</v>
      </c>
      <c r="G1735" s="2">
        <v>5</v>
      </c>
      <c r="H1735" s="2">
        <v>90</v>
      </c>
      <c r="I1735" s="2">
        <v>0</v>
      </c>
      <c r="J1735" t="str">
        <f>_xlfn.XLOOKUP(Table2[[#This Row],[Customer_ID]],Table1[Customer_ID],Table1[Customer_Name])</f>
        <v>Ashley Ables</v>
      </c>
    </row>
    <row r="1736" spans="1:10" x14ac:dyDescent="0.35">
      <c r="A1736" s="4">
        <v>40904</v>
      </c>
      <c r="B1736" s="2">
        <v>10755</v>
      </c>
      <c r="C1736" s="2">
        <v>74</v>
      </c>
      <c r="D1736" s="2">
        <v>8</v>
      </c>
      <c r="E1736" s="2">
        <v>60</v>
      </c>
      <c r="F1736" s="2">
        <v>2</v>
      </c>
      <c r="G1736" s="2">
        <v>3</v>
      </c>
      <c r="H1736" s="2">
        <v>6</v>
      </c>
      <c r="I1736" s="2">
        <v>0</v>
      </c>
      <c r="J1736" t="str">
        <f>_xlfn.XLOOKUP(Table2[[#This Row],[Customer_ID]],Table1[Customer_ID],Table1[Customer_Name])</f>
        <v>Ashley Ables</v>
      </c>
    </row>
    <row r="1737" spans="1:10" x14ac:dyDescent="0.35">
      <c r="A1737" s="4">
        <v>40904</v>
      </c>
      <c r="B1737" s="2">
        <v>10755</v>
      </c>
      <c r="C1737" s="2">
        <v>357</v>
      </c>
      <c r="D1737" s="2">
        <v>8</v>
      </c>
      <c r="E1737" s="2">
        <v>60</v>
      </c>
      <c r="F1737" s="2">
        <v>2</v>
      </c>
      <c r="G1737" s="2">
        <v>2</v>
      </c>
      <c r="H1737" s="2">
        <v>33</v>
      </c>
      <c r="I1737" s="2">
        <v>0</v>
      </c>
      <c r="J1737" t="str">
        <f>_xlfn.XLOOKUP(Table2[[#This Row],[Customer_ID]],Table1[Customer_ID],Table1[Customer_Name])</f>
        <v>Ashley Ables</v>
      </c>
    </row>
    <row r="1738" spans="1:10" x14ac:dyDescent="0.35">
      <c r="A1738" s="4">
        <v>40905</v>
      </c>
      <c r="B1738" s="2">
        <v>10757</v>
      </c>
      <c r="C1738" s="2">
        <v>311</v>
      </c>
      <c r="D1738" s="2">
        <v>10</v>
      </c>
      <c r="E1738" s="2">
        <v>22</v>
      </c>
      <c r="F1738" s="2">
        <v>2</v>
      </c>
      <c r="G1738" s="2">
        <v>2</v>
      </c>
      <c r="H1738" s="2">
        <v>6</v>
      </c>
      <c r="I1738" s="2">
        <v>0</v>
      </c>
      <c r="J1738" t="str">
        <f>_xlfn.XLOOKUP(Table2[[#This Row],[Customer_ID]],Table1[Customer_ID],Table1[Customer_Name])</f>
        <v>Berniece Blakely</v>
      </c>
    </row>
    <row r="1739" spans="1:10" x14ac:dyDescent="0.35">
      <c r="A1739" s="4">
        <v>40905</v>
      </c>
      <c r="B1739" s="2">
        <v>10757</v>
      </c>
      <c r="C1739" s="2">
        <v>221</v>
      </c>
      <c r="D1739" s="2">
        <v>10</v>
      </c>
      <c r="E1739" s="2">
        <v>22</v>
      </c>
      <c r="F1739" s="2">
        <v>2</v>
      </c>
      <c r="G1739" s="2">
        <v>3</v>
      </c>
      <c r="H1739" s="2">
        <v>4</v>
      </c>
      <c r="I1739" s="2">
        <v>0</v>
      </c>
      <c r="J1739" t="str">
        <f>_xlfn.XLOOKUP(Table2[[#This Row],[Customer_ID]],Table1[Customer_ID],Table1[Customer_Name])</f>
        <v>Berniece Blakely</v>
      </c>
    </row>
    <row r="1740" spans="1:10" x14ac:dyDescent="0.35">
      <c r="A1740" s="4">
        <v>40905</v>
      </c>
      <c r="B1740" s="2">
        <v>10757</v>
      </c>
      <c r="C1740" s="2">
        <v>340</v>
      </c>
      <c r="D1740" s="2">
        <v>10</v>
      </c>
      <c r="E1740" s="2">
        <v>22</v>
      </c>
      <c r="F1740" s="2">
        <v>2</v>
      </c>
      <c r="G1740" s="2">
        <v>5</v>
      </c>
      <c r="H1740" s="2">
        <v>2</v>
      </c>
      <c r="I1740" s="2">
        <v>0</v>
      </c>
      <c r="J1740" t="str">
        <f>_xlfn.XLOOKUP(Table2[[#This Row],[Customer_ID]],Table1[Customer_ID],Table1[Customer_Name])</f>
        <v>Berniece Blakely</v>
      </c>
    </row>
    <row r="1741" spans="1:10" x14ac:dyDescent="0.35">
      <c r="A1741" s="4">
        <v>40905</v>
      </c>
      <c r="B1741" s="2">
        <v>10757</v>
      </c>
      <c r="C1741" s="2">
        <v>216</v>
      </c>
      <c r="D1741" s="2">
        <v>10</v>
      </c>
      <c r="E1741" s="2">
        <v>22</v>
      </c>
      <c r="F1741" s="2">
        <v>2</v>
      </c>
      <c r="G1741" s="2">
        <v>2</v>
      </c>
      <c r="H1741" s="2">
        <v>4</v>
      </c>
      <c r="I1741" s="2">
        <v>0</v>
      </c>
      <c r="J1741" t="str">
        <f>_xlfn.XLOOKUP(Table2[[#This Row],[Customer_ID]],Table1[Customer_ID],Table1[Customer_Name])</f>
        <v>Berniece Blakely</v>
      </c>
    </row>
    <row r="1742" spans="1:10" x14ac:dyDescent="0.35">
      <c r="A1742" s="4">
        <v>40906</v>
      </c>
      <c r="B1742" s="2">
        <v>10759</v>
      </c>
      <c r="C1742" s="2">
        <v>247</v>
      </c>
      <c r="D1742" s="2">
        <v>12</v>
      </c>
      <c r="E1742" s="2">
        <v>63</v>
      </c>
      <c r="F1742" s="2">
        <v>2</v>
      </c>
      <c r="G1742" s="2">
        <v>1</v>
      </c>
      <c r="H1742" s="2">
        <v>2</v>
      </c>
      <c r="I1742" s="2">
        <v>0</v>
      </c>
      <c r="J1742" t="str">
        <f>_xlfn.XLOOKUP(Table2[[#This Row],[Customer_ID]],Table1[Customer_ID],Table1[Customer_Name])</f>
        <v>Brittney Edmond</v>
      </c>
    </row>
    <row r="1743" spans="1:10" x14ac:dyDescent="0.35">
      <c r="A1743" s="4">
        <v>40910</v>
      </c>
      <c r="B1743" s="2">
        <v>10761</v>
      </c>
      <c r="C1743" s="2">
        <v>243</v>
      </c>
      <c r="D1743" s="2">
        <v>14</v>
      </c>
      <c r="E1743" s="2">
        <v>34</v>
      </c>
      <c r="F1743" s="2">
        <v>2</v>
      </c>
      <c r="G1743" s="2">
        <v>1</v>
      </c>
      <c r="H1743" s="2">
        <v>4</v>
      </c>
      <c r="I1743" s="2">
        <v>0</v>
      </c>
      <c r="J1743" t="str">
        <f>_xlfn.XLOOKUP(Table2[[#This Row],[Customer_ID]],Table1[Customer_ID],Table1[Customer_Name])</f>
        <v>Cari Craw</v>
      </c>
    </row>
    <row r="1744" spans="1:10" x14ac:dyDescent="0.35">
      <c r="A1744" s="4">
        <v>40910</v>
      </c>
      <c r="B1744" s="2">
        <v>10761</v>
      </c>
      <c r="C1744" s="2">
        <v>244</v>
      </c>
      <c r="D1744" s="2">
        <v>14</v>
      </c>
      <c r="E1744" s="2">
        <v>34</v>
      </c>
      <c r="F1744" s="2">
        <v>2</v>
      </c>
      <c r="G1744" s="2">
        <v>2</v>
      </c>
      <c r="H1744" s="2">
        <v>3</v>
      </c>
      <c r="I1744" s="2">
        <v>0</v>
      </c>
      <c r="J1744" t="str">
        <f>_xlfn.XLOOKUP(Table2[[#This Row],[Customer_ID]],Table1[Customer_ID],Table1[Customer_Name])</f>
        <v>Cari Craw</v>
      </c>
    </row>
    <row r="1745" spans="1:10" x14ac:dyDescent="0.35">
      <c r="A1745" s="4">
        <v>40911</v>
      </c>
      <c r="B1745" s="2">
        <v>10763</v>
      </c>
      <c r="C1745" s="2">
        <v>453</v>
      </c>
      <c r="D1745" s="2">
        <v>16</v>
      </c>
      <c r="E1745" s="2">
        <v>39</v>
      </c>
      <c r="F1745" s="2">
        <v>2</v>
      </c>
      <c r="G1745" s="2">
        <v>4</v>
      </c>
      <c r="H1745" s="2">
        <v>19</v>
      </c>
      <c r="I1745" s="2">
        <v>0</v>
      </c>
      <c r="J1745" t="str">
        <f>_xlfn.XLOOKUP(Table2[[#This Row],[Customer_ID]],Table1[Customer_ID],Table1[Customer_Name])</f>
        <v>Casandra Flewelling</v>
      </c>
    </row>
    <row r="1746" spans="1:10" x14ac:dyDescent="0.35">
      <c r="A1746" s="4">
        <v>40911</v>
      </c>
      <c r="B1746" s="2">
        <v>10763</v>
      </c>
      <c r="C1746" s="2">
        <v>384</v>
      </c>
      <c r="D1746" s="2">
        <v>16</v>
      </c>
      <c r="E1746" s="2">
        <v>39</v>
      </c>
      <c r="F1746" s="2">
        <v>2</v>
      </c>
      <c r="G1746" s="2">
        <v>3</v>
      </c>
      <c r="H1746" s="2">
        <v>13</v>
      </c>
      <c r="I1746" s="2">
        <v>0</v>
      </c>
      <c r="J1746" t="str">
        <f>_xlfn.XLOOKUP(Table2[[#This Row],[Customer_ID]],Table1[Customer_ID],Table1[Customer_Name])</f>
        <v>Casandra Flewelling</v>
      </c>
    </row>
    <row r="1747" spans="1:10" x14ac:dyDescent="0.35">
      <c r="A1747" s="4">
        <v>40911</v>
      </c>
      <c r="B1747" s="2">
        <v>10763</v>
      </c>
      <c r="C1747" s="2">
        <v>451</v>
      </c>
      <c r="D1747" s="2">
        <v>16</v>
      </c>
      <c r="E1747" s="2">
        <v>39</v>
      </c>
      <c r="F1747" s="2">
        <v>2</v>
      </c>
      <c r="G1747" s="2">
        <v>8</v>
      </c>
      <c r="H1747" s="2">
        <v>19</v>
      </c>
      <c r="I1747" s="2">
        <v>0</v>
      </c>
      <c r="J1747" t="str">
        <f>_xlfn.XLOOKUP(Table2[[#This Row],[Customer_ID]],Table1[Customer_ID],Table1[Customer_Name])</f>
        <v>Casandra Flewelling</v>
      </c>
    </row>
    <row r="1748" spans="1:10" x14ac:dyDescent="0.35">
      <c r="A1748" s="4">
        <v>40912</v>
      </c>
      <c r="B1748" s="2">
        <v>10765</v>
      </c>
      <c r="C1748" s="2">
        <v>442</v>
      </c>
      <c r="D1748" s="2">
        <v>18</v>
      </c>
      <c r="E1748" s="2">
        <v>41</v>
      </c>
      <c r="F1748" s="2">
        <v>2</v>
      </c>
      <c r="G1748" s="2">
        <v>3</v>
      </c>
      <c r="H1748" s="2">
        <v>30</v>
      </c>
      <c r="I1748" s="2">
        <v>0</v>
      </c>
      <c r="J1748" t="str">
        <f>_xlfn.XLOOKUP(Table2[[#This Row],[Customer_ID]],Table1[Customer_ID],Table1[Customer_Name])</f>
        <v>Cecilia Crossman</v>
      </c>
    </row>
    <row r="1749" spans="1:10" x14ac:dyDescent="0.35">
      <c r="A1749" s="4">
        <v>40913</v>
      </c>
      <c r="B1749" s="2">
        <v>10767</v>
      </c>
      <c r="C1749" s="2">
        <v>431</v>
      </c>
      <c r="D1749" s="2">
        <v>20</v>
      </c>
      <c r="E1749" s="2">
        <v>43</v>
      </c>
      <c r="F1749" s="2">
        <v>2</v>
      </c>
      <c r="G1749" s="2">
        <v>3</v>
      </c>
      <c r="H1749" s="2">
        <v>15</v>
      </c>
      <c r="I1749" s="2">
        <v>0</v>
      </c>
      <c r="J1749" t="str">
        <f>_xlfn.XLOOKUP(Table2[[#This Row],[Customer_ID]],Table1[Customer_ID],Table1[Customer_Name])</f>
        <v>Chelsey Powers</v>
      </c>
    </row>
    <row r="1750" spans="1:10" x14ac:dyDescent="0.35">
      <c r="A1750" s="4">
        <v>40916</v>
      </c>
      <c r="B1750" s="2">
        <v>10769</v>
      </c>
      <c r="C1750" s="2">
        <v>413</v>
      </c>
      <c r="D1750" s="2">
        <v>22</v>
      </c>
      <c r="E1750" s="2">
        <v>49</v>
      </c>
      <c r="F1750" s="2">
        <v>2</v>
      </c>
      <c r="G1750" s="2">
        <v>5</v>
      </c>
      <c r="H1750" s="2">
        <v>20</v>
      </c>
      <c r="I1750" s="2">
        <v>0</v>
      </c>
      <c r="J1750" t="str">
        <f>_xlfn.XLOOKUP(Table2[[#This Row],[Customer_ID]],Table1[Customer_ID],Table1[Customer_Name])</f>
        <v>Colleen Coplin</v>
      </c>
    </row>
    <row r="1751" spans="1:10" x14ac:dyDescent="0.35">
      <c r="A1751" s="4">
        <v>40916</v>
      </c>
      <c r="B1751" s="2">
        <v>10769</v>
      </c>
      <c r="C1751" s="2">
        <v>292</v>
      </c>
      <c r="D1751" s="2">
        <v>22</v>
      </c>
      <c r="E1751" s="2">
        <v>49</v>
      </c>
      <c r="F1751" s="2">
        <v>2</v>
      </c>
      <c r="G1751" s="2">
        <v>6</v>
      </c>
      <c r="H1751" s="2">
        <v>4</v>
      </c>
      <c r="I1751" s="2">
        <v>0</v>
      </c>
      <c r="J1751" t="str">
        <f>_xlfn.XLOOKUP(Table2[[#This Row],[Customer_ID]],Table1[Customer_ID],Table1[Customer_Name])</f>
        <v>Colleen Coplin</v>
      </c>
    </row>
    <row r="1752" spans="1:10" x14ac:dyDescent="0.35">
      <c r="A1752" s="4">
        <v>40916</v>
      </c>
      <c r="B1752" s="2">
        <v>10769</v>
      </c>
      <c r="C1752" s="2">
        <v>414</v>
      </c>
      <c r="D1752" s="2">
        <v>22</v>
      </c>
      <c r="E1752" s="2">
        <v>49</v>
      </c>
      <c r="F1752" s="2">
        <v>2</v>
      </c>
      <c r="G1752" s="2">
        <v>6</v>
      </c>
      <c r="H1752" s="2">
        <v>16</v>
      </c>
      <c r="I1752" s="2">
        <v>0</v>
      </c>
      <c r="J1752" t="str">
        <f>_xlfn.XLOOKUP(Table2[[#This Row],[Customer_ID]],Table1[Customer_ID],Table1[Customer_Name])</f>
        <v>Colleen Coplin</v>
      </c>
    </row>
    <row r="1753" spans="1:10" x14ac:dyDescent="0.35">
      <c r="A1753" s="4">
        <v>40916</v>
      </c>
      <c r="B1753" s="2">
        <v>10769</v>
      </c>
      <c r="C1753" s="2">
        <v>426</v>
      </c>
      <c r="D1753" s="2">
        <v>22</v>
      </c>
      <c r="E1753" s="2">
        <v>49</v>
      </c>
      <c r="F1753" s="2">
        <v>2</v>
      </c>
      <c r="G1753" s="2">
        <v>2</v>
      </c>
      <c r="H1753" s="2">
        <v>7</v>
      </c>
      <c r="I1753" s="2">
        <v>0</v>
      </c>
      <c r="J1753" t="str">
        <f>_xlfn.XLOOKUP(Table2[[#This Row],[Customer_ID]],Table1[Customer_ID],Table1[Customer_Name])</f>
        <v>Colleen Coplin</v>
      </c>
    </row>
    <row r="1754" spans="1:10" x14ac:dyDescent="0.35">
      <c r="A1754" s="4">
        <v>40918</v>
      </c>
      <c r="B1754" s="2">
        <v>10771</v>
      </c>
      <c r="C1754" s="2">
        <v>254</v>
      </c>
      <c r="D1754" s="2">
        <v>24</v>
      </c>
      <c r="E1754" s="2">
        <v>59</v>
      </c>
      <c r="F1754" s="2">
        <v>2</v>
      </c>
      <c r="G1754" s="2">
        <v>6</v>
      </c>
      <c r="H1754" s="2">
        <v>4</v>
      </c>
      <c r="I1754" s="2">
        <v>0</v>
      </c>
      <c r="J1754" t="str">
        <f>_xlfn.XLOOKUP(Table2[[#This Row],[Customer_ID]],Table1[Customer_ID],Table1[Customer_Name])</f>
        <v>Corrinne Cataldo</v>
      </c>
    </row>
    <row r="1755" spans="1:10" x14ac:dyDescent="0.35">
      <c r="A1755" s="4">
        <v>40919</v>
      </c>
      <c r="B1755" s="2">
        <v>10773</v>
      </c>
      <c r="C1755" s="2">
        <v>399</v>
      </c>
      <c r="D1755" s="2">
        <v>26</v>
      </c>
      <c r="E1755" s="2">
        <v>94</v>
      </c>
      <c r="F1755" s="2">
        <v>2</v>
      </c>
      <c r="G1755" s="2">
        <v>6</v>
      </c>
      <c r="H1755" s="2">
        <v>8</v>
      </c>
      <c r="I1755" s="2">
        <v>0</v>
      </c>
      <c r="J1755" t="str">
        <f>_xlfn.XLOOKUP(Table2[[#This Row],[Customer_ID]],Table1[Customer_ID],Table1[Customer_Name])</f>
        <v>Cyndy Collie</v>
      </c>
    </row>
    <row r="1756" spans="1:10" x14ac:dyDescent="0.35">
      <c r="A1756" s="4">
        <v>40919</v>
      </c>
      <c r="B1756" s="2">
        <v>10773</v>
      </c>
      <c r="C1756" s="2">
        <v>393</v>
      </c>
      <c r="D1756" s="2">
        <v>26</v>
      </c>
      <c r="E1756" s="2">
        <v>94</v>
      </c>
      <c r="F1756" s="2">
        <v>2</v>
      </c>
      <c r="G1756" s="2">
        <v>2</v>
      </c>
      <c r="H1756" s="2">
        <v>10</v>
      </c>
      <c r="I1756" s="2">
        <v>0</v>
      </c>
      <c r="J1756" t="str">
        <f>_xlfn.XLOOKUP(Table2[[#This Row],[Customer_ID]],Table1[Customer_ID],Table1[Customer_Name])</f>
        <v>Cyndy Collie</v>
      </c>
    </row>
    <row r="1757" spans="1:10" x14ac:dyDescent="0.35">
      <c r="A1757" s="4">
        <v>40919</v>
      </c>
      <c r="B1757" s="2">
        <v>10773</v>
      </c>
      <c r="C1757" s="2">
        <v>387</v>
      </c>
      <c r="D1757" s="2">
        <v>26</v>
      </c>
      <c r="E1757" s="2">
        <v>94</v>
      </c>
      <c r="F1757" s="2">
        <v>2</v>
      </c>
      <c r="G1757" s="2">
        <v>2</v>
      </c>
      <c r="H1757" s="2">
        <v>7</v>
      </c>
      <c r="I1757" s="2">
        <v>0</v>
      </c>
      <c r="J1757" t="str">
        <f>_xlfn.XLOOKUP(Table2[[#This Row],[Customer_ID]],Table1[Customer_ID],Table1[Customer_Name])</f>
        <v>Cyndy Collie</v>
      </c>
    </row>
    <row r="1758" spans="1:10" x14ac:dyDescent="0.35">
      <c r="A1758" s="4">
        <v>40920</v>
      </c>
      <c r="B1758" s="2">
        <v>10775</v>
      </c>
      <c r="C1758" s="2">
        <v>350</v>
      </c>
      <c r="D1758" s="2">
        <v>28</v>
      </c>
      <c r="E1758" s="2">
        <v>26</v>
      </c>
      <c r="F1758" s="2">
        <v>2</v>
      </c>
      <c r="G1758" s="2">
        <v>1</v>
      </c>
      <c r="H1758" s="2">
        <v>59</v>
      </c>
      <c r="I1758" s="2">
        <v>0</v>
      </c>
      <c r="J1758" t="str">
        <f>_xlfn.XLOOKUP(Table2[[#This Row],[Customer_ID]],Table1[Customer_ID],Table1[Customer_Name])</f>
        <v>Delena Hulin</v>
      </c>
    </row>
    <row r="1759" spans="1:10" x14ac:dyDescent="0.35">
      <c r="A1759" s="4">
        <v>40920</v>
      </c>
      <c r="B1759" s="2">
        <v>10775</v>
      </c>
      <c r="C1759" s="2">
        <v>187</v>
      </c>
      <c r="D1759" s="2">
        <v>28</v>
      </c>
      <c r="E1759" s="2">
        <v>26</v>
      </c>
      <c r="F1759" s="2">
        <v>2</v>
      </c>
      <c r="G1759" s="2">
        <v>4</v>
      </c>
      <c r="H1759" s="2">
        <v>413</v>
      </c>
      <c r="I1759" s="2">
        <v>0</v>
      </c>
      <c r="J1759" t="str">
        <f>_xlfn.XLOOKUP(Table2[[#This Row],[Customer_ID]],Table1[Customer_ID],Table1[Customer_Name])</f>
        <v>Delena Hulin</v>
      </c>
    </row>
    <row r="1760" spans="1:10" x14ac:dyDescent="0.35">
      <c r="A1760" s="4">
        <v>40923</v>
      </c>
      <c r="B1760" s="2">
        <v>10777</v>
      </c>
      <c r="C1760" s="2">
        <v>28</v>
      </c>
      <c r="D1760" s="2">
        <v>30</v>
      </c>
      <c r="E1760" s="2">
        <v>34</v>
      </c>
      <c r="F1760" s="2">
        <v>2</v>
      </c>
      <c r="G1760" s="2">
        <v>6</v>
      </c>
      <c r="H1760" s="2">
        <v>421</v>
      </c>
      <c r="I1760" s="2">
        <v>0</v>
      </c>
      <c r="J1760" t="str">
        <f>_xlfn.XLOOKUP(Table2[[#This Row],[Customer_ID]],Table1[Customer_ID],Table1[Customer_Name])</f>
        <v>Dinah Trusty</v>
      </c>
    </row>
    <row r="1761" spans="1:10" x14ac:dyDescent="0.35">
      <c r="A1761" s="4">
        <v>40924</v>
      </c>
      <c r="B1761" s="2">
        <v>10779</v>
      </c>
      <c r="C1761" s="2">
        <v>27</v>
      </c>
      <c r="D1761" s="2">
        <v>32</v>
      </c>
      <c r="E1761" s="2">
        <v>36</v>
      </c>
      <c r="F1761" s="2">
        <v>2</v>
      </c>
      <c r="G1761" s="2">
        <v>5</v>
      </c>
      <c r="H1761" s="2">
        <v>769</v>
      </c>
      <c r="I1761" s="2">
        <v>0</v>
      </c>
      <c r="J1761" t="str">
        <f>_xlfn.XLOOKUP(Table2[[#This Row],[Customer_ID]],Table1[Customer_ID],Table1[Customer_Name])</f>
        <v>Doretha Mcmunn</v>
      </c>
    </row>
    <row r="1762" spans="1:10" x14ac:dyDescent="0.35">
      <c r="A1762" s="4">
        <v>40924</v>
      </c>
      <c r="B1762" s="2">
        <v>10779</v>
      </c>
      <c r="C1762" s="2">
        <v>118</v>
      </c>
      <c r="D1762" s="2">
        <v>32</v>
      </c>
      <c r="E1762" s="2">
        <v>36</v>
      </c>
      <c r="F1762" s="2">
        <v>2</v>
      </c>
      <c r="G1762" s="2">
        <v>5</v>
      </c>
      <c r="H1762" s="2">
        <v>983</v>
      </c>
      <c r="I1762" s="2">
        <v>0</v>
      </c>
      <c r="J1762" t="str">
        <f>_xlfn.XLOOKUP(Table2[[#This Row],[Customer_ID]],Table1[Customer_ID],Table1[Customer_Name])</f>
        <v>Doretha Mcmunn</v>
      </c>
    </row>
    <row r="1763" spans="1:10" x14ac:dyDescent="0.35">
      <c r="A1763" s="4">
        <v>40925</v>
      </c>
      <c r="B1763" s="2">
        <v>10781</v>
      </c>
      <c r="C1763" s="2">
        <v>116</v>
      </c>
      <c r="D1763" s="2">
        <v>34</v>
      </c>
      <c r="E1763" s="2">
        <v>95</v>
      </c>
      <c r="F1763" s="2">
        <v>2</v>
      </c>
      <c r="G1763" s="2">
        <v>5</v>
      </c>
      <c r="H1763" s="2">
        <v>1825</v>
      </c>
      <c r="I1763" s="2">
        <v>0</v>
      </c>
      <c r="J1763" t="str">
        <f>_xlfn.XLOOKUP(Table2[[#This Row],[Customer_ID]],Table1[Customer_ID],Table1[Customer_Name])</f>
        <v>Duane Dopp</v>
      </c>
    </row>
    <row r="1764" spans="1:10" x14ac:dyDescent="0.35">
      <c r="A1764" s="4">
        <v>40925</v>
      </c>
      <c r="B1764" s="2">
        <v>10781</v>
      </c>
      <c r="C1764" s="2">
        <v>114</v>
      </c>
      <c r="D1764" s="2">
        <v>34</v>
      </c>
      <c r="E1764" s="2">
        <v>95</v>
      </c>
      <c r="F1764" s="2">
        <v>2</v>
      </c>
      <c r="G1764" s="2">
        <v>1</v>
      </c>
      <c r="H1764" s="2">
        <v>1952</v>
      </c>
      <c r="I1764" s="2">
        <v>0</v>
      </c>
      <c r="J1764" t="str">
        <f>_xlfn.XLOOKUP(Table2[[#This Row],[Customer_ID]],Table1[Customer_ID],Table1[Customer_Name])</f>
        <v>Duane Dopp</v>
      </c>
    </row>
    <row r="1765" spans="1:10" x14ac:dyDescent="0.35">
      <c r="A1765" s="4">
        <v>40925</v>
      </c>
      <c r="B1765" s="2">
        <v>10781</v>
      </c>
      <c r="C1765" s="2">
        <v>113</v>
      </c>
      <c r="D1765" s="2">
        <v>34</v>
      </c>
      <c r="E1765" s="2">
        <v>95</v>
      </c>
      <c r="F1765" s="2">
        <v>2</v>
      </c>
      <c r="G1765" s="2">
        <v>2</v>
      </c>
      <c r="H1765" s="2">
        <v>1301</v>
      </c>
      <c r="I1765" s="2">
        <v>0</v>
      </c>
      <c r="J1765" t="str">
        <f>_xlfn.XLOOKUP(Table2[[#This Row],[Customer_ID]],Table1[Customer_ID],Table1[Customer_Name])</f>
        <v>Duane Dopp</v>
      </c>
    </row>
    <row r="1766" spans="1:10" x14ac:dyDescent="0.35">
      <c r="A1766" s="4">
        <v>40926</v>
      </c>
      <c r="B1766" s="2">
        <v>10783</v>
      </c>
      <c r="C1766" s="2">
        <v>33</v>
      </c>
      <c r="D1766" s="2">
        <v>36</v>
      </c>
      <c r="E1766" s="2">
        <v>56</v>
      </c>
      <c r="F1766" s="2">
        <v>2</v>
      </c>
      <c r="G1766" s="2">
        <v>5</v>
      </c>
      <c r="H1766" s="2">
        <v>32</v>
      </c>
      <c r="I1766" s="2">
        <v>0</v>
      </c>
      <c r="J1766" t="str">
        <f>_xlfn.XLOOKUP(Table2[[#This Row],[Customer_ID]],Table1[Customer_ID],Table1[Customer_Name])</f>
        <v>Earnestine Heidenreich</v>
      </c>
    </row>
    <row r="1767" spans="1:10" x14ac:dyDescent="0.35">
      <c r="A1767" s="4">
        <v>40926</v>
      </c>
      <c r="B1767" s="2">
        <v>10785</v>
      </c>
      <c r="C1767" s="2">
        <v>45</v>
      </c>
      <c r="D1767" s="2">
        <v>38</v>
      </c>
      <c r="E1767" s="2">
        <v>60</v>
      </c>
      <c r="F1767" s="2">
        <v>2</v>
      </c>
      <c r="G1767" s="2">
        <v>3</v>
      </c>
      <c r="H1767" s="2">
        <v>31</v>
      </c>
      <c r="I1767" s="2">
        <v>0</v>
      </c>
      <c r="J1767" t="str">
        <f>_xlfn.XLOOKUP(Table2[[#This Row],[Customer_ID]],Table1[Customer_ID],Table1[Customer_Name])</f>
        <v>Edison Littell</v>
      </c>
    </row>
    <row r="1768" spans="1:10" x14ac:dyDescent="0.35">
      <c r="A1768" s="4">
        <v>40926</v>
      </c>
      <c r="B1768" s="2">
        <v>10785</v>
      </c>
      <c r="C1768" s="2">
        <v>302</v>
      </c>
      <c r="D1768" s="2">
        <v>38</v>
      </c>
      <c r="E1768" s="2">
        <v>60</v>
      </c>
      <c r="F1768" s="2">
        <v>2</v>
      </c>
      <c r="G1768" s="2">
        <v>4</v>
      </c>
      <c r="H1768" s="2">
        <v>15</v>
      </c>
      <c r="I1768" s="2">
        <v>0</v>
      </c>
      <c r="J1768" t="str">
        <f>_xlfn.XLOOKUP(Table2[[#This Row],[Customer_ID]],Table1[Customer_ID],Table1[Customer_Name])</f>
        <v>Edison Littell</v>
      </c>
    </row>
    <row r="1769" spans="1:10" x14ac:dyDescent="0.35">
      <c r="A1769" s="4">
        <v>40926</v>
      </c>
      <c r="B1769" s="2">
        <v>10783</v>
      </c>
      <c r="C1769" s="2">
        <v>69</v>
      </c>
      <c r="D1769" s="2">
        <v>36</v>
      </c>
      <c r="E1769" s="2">
        <v>56</v>
      </c>
      <c r="F1769" s="2">
        <v>2</v>
      </c>
      <c r="G1769" s="2">
        <v>6</v>
      </c>
      <c r="H1769" s="2">
        <v>21</v>
      </c>
      <c r="I1769" s="2">
        <v>0</v>
      </c>
      <c r="J1769" t="str">
        <f>_xlfn.XLOOKUP(Table2[[#This Row],[Customer_ID]],Table1[Customer_ID],Table1[Customer_Name])</f>
        <v>Earnestine Heidenreich</v>
      </c>
    </row>
    <row r="1770" spans="1:10" x14ac:dyDescent="0.35">
      <c r="A1770" s="4">
        <v>40927</v>
      </c>
      <c r="B1770" s="2">
        <v>10787</v>
      </c>
      <c r="C1770" s="2">
        <v>46</v>
      </c>
      <c r="D1770" s="2">
        <v>40</v>
      </c>
      <c r="E1770" s="2">
        <v>17</v>
      </c>
      <c r="F1770" s="2">
        <v>2</v>
      </c>
      <c r="G1770" s="2">
        <v>1</v>
      </c>
      <c r="H1770" s="2">
        <v>33</v>
      </c>
      <c r="I1770" s="2">
        <v>0</v>
      </c>
      <c r="J1770" t="str">
        <f>_xlfn.XLOOKUP(Table2[[#This Row],[Customer_ID]],Table1[Customer_ID],Table1[Customer_Name])</f>
        <v>Eleonora Eddinger</v>
      </c>
    </row>
    <row r="1771" spans="1:10" x14ac:dyDescent="0.35">
      <c r="A1771" s="4">
        <v>40927</v>
      </c>
      <c r="B1771" s="2">
        <v>10787</v>
      </c>
      <c r="C1771" s="2">
        <v>263</v>
      </c>
      <c r="D1771" s="2">
        <v>40</v>
      </c>
      <c r="E1771" s="2">
        <v>17</v>
      </c>
      <c r="F1771" s="2">
        <v>2</v>
      </c>
      <c r="G1771" s="2">
        <v>1</v>
      </c>
      <c r="H1771" s="2">
        <v>3</v>
      </c>
      <c r="I1771" s="2">
        <v>0</v>
      </c>
      <c r="J1771" t="str">
        <f>_xlfn.XLOOKUP(Table2[[#This Row],[Customer_ID]],Table1[Customer_ID],Table1[Customer_Name])</f>
        <v>Eleonora Eddinger</v>
      </c>
    </row>
    <row r="1772" spans="1:10" x14ac:dyDescent="0.35">
      <c r="A1772" s="4">
        <v>40930</v>
      </c>
      <c r="B1772" s="2">
        <v>10789</v>
      </c>
      <c r="C1772" s="2">
        <v>394</v>
      </c>
      <c r="D1772" s="2">
        <v>42</v>
      </c>
      <c r="E1772" s="2">
        <v>89</v>
      </c>
      <c r="F1772" s="2">
        <v>2</v>
      </c>
      <c r="G1772" s="2">
        <v>6</v>
      </c>
      <c r="H1772" s="2">
        <v>10</v>
      </c>
      <c r="I1772" s="2">
        <v>0</v>
      </c>
      <c r="J1772" t="str">
        <f>_xlfn.XLOOKUP(Table2[[#This Row],[Customer_ID]],Table1[Customer_ID],Table1[Customer_Name])</f>
        <v>Eliseo Mangual</v>
      </c>
    </row>
    <row r="1773" spans="1:10" x14ac:dyDescent="0.35">
      <c r="A1773" s="4">
        <v>40930</v>
      </c>
      <c r="B1773" s="2">
        <v>10789</v>
      </c>
      <c r="C1773" s="2">
        <v>323</v>
      </c>
      <c r="D1773" s="2">
        <v>42</v>
      </c>
      <c r="E1773" s="2">
        <v>89</v>
      </c>
      <c r="F1773" s="2">
        <v>2</v>
      </c>
      <c r="G1773" s="2">
        <v>6</v>
      </c>
      <c r="H1773" s="2">
        <v>7</v>
      </c>
      <c r="I1773" s="2">
        <v>0</v>
      </c>
      <c r="J1773" t="str">
        <f>_xlfn.XLOOKUP(Table2[[#This Row],[Customer_ID]],Table1[Customer_ID],Table1[Customer_Name])</f>
        <v>Eliseo Mangual</v>
      </c>
    </row>
    <row r="1774" spans="1:10" x14ac:dyDescent="0.35">
      <c r="A1774" s="4">
        <v>40930</v>
      </c>
      <c r="B1774" s="2">
        <v>10789</v>
      </c>
      <c r="C1774" s="2">
        <v>307</v>
      </c>
      <c r="D1774" s="2">
        <v>42</v>
      </c>
      <c r="E1774" s="2">
        <v>89</v>
      </c>
      <c r="F1774" s="2">
        <v>2</v>
      </c>
      <c r="G1774" s="2">
        <v>7</v>
      </c>
      <c r="H1774" s="2">
        <v>14</v>
      </c>
      <c r="I1774" s="2">
        <v>0</v>
      </c>
      <c r="J1774" t="str">
        <f>_xlfn.XLOOKUP(Table2[[#This Row],[Customer_ID]],Table1[Customer_ID],Table1[Customer_Name])</f>
        <v>Eliseo Mangual</v>
      </c>
    </row>
    <row r="1775" spans="1:10" x14ac:dyDescent="0.35">
      <c r="A1775" s="4">
        <v>40930</v>
      </c>
      <c r="B1775" s="2">
        <v>10789</v>
      </c>
      <c r="C1775" s="2">
        <v>355</v>
      </c>
      <c r="D1775" s="2">
        <v>42</v>
      </c>
      <c r="E1775" s="2">
        <v>89</v>
      </c>
      <c r="F1775" s="2">
        <v>2</v>
      </c>
      <c r="G1775" s="2">
        <v>1</v>
      </c>
      <c r="H1775" s="2">
        <v>62</v>
      </c>
      <c r="I1775" s="2">
        <v>0</v>
      </c>
      <c r="J1775" t="str">
        <f>_xlfn.XLOOKUP(Table2[[#This Row],[Customer_ID]],Table1[Customer_ID],Table1[Customer_Name])</f>
        <v>Eliseo Mangual</v>
      </c>
    </row>
    <row r="1776" spans="1:10" x14ac:dyDescent="0.35">
      <c r="A1776" s="4">
        <v>40931</v>
      </c>
      <c r="B1776" s="2">
        <v>10791</v>
      </c>
      <c r="C1776" s="2">
        <v>67</v>
      </c>
      <c r="D1776" s="2">
        <v>44</v>
      </c>
      <c r="E1776" s="2">
        <v>15</v>
      </c>
      <c r="F1776" s="2">
        <v>2</v>
      </c>
      <c r="G1776" s="2">
        <v>8</v>
      </c>
      <c r="H1776" s="2">
        <v>8</v>
      </c>
      <c r="I1776" s="2">
        <v>0</v>
      </c>
      <c r="J1776" t="str">
        <f>_xlfn.XLOOKUP(Table2[[#This Row],[Customer_ID]],Table1[Customer_ID],Table1[Customer_Name])</f>
        <v>Eura Gordan</v>
      </c>
    </row>
    <row r="1777" spans="1:10" x14ac:dyDescent="0.35">
      <c r="A1777" s="4">
        <v>40931</v>
      </c>
      <c r="B1777" s="2">
        <v>10791</v>
      </c>
      <c r="C1777" s="2">
        <v>151</v>
      </c>
      <c r="D1777" s="2">
        <v>44</v>
      </c>
      <c r="E1777" s="2">
        <v>15</v>
      </c>
      <c r="F1777" s="2">
        <v>2</v>
      </c>
      <c r="G1777" s="2">
        <v>2</v>
      </c>
      <c r="H1777" s="2">
        <v>526</v>
      </c>
      <c r="I1777" s="2">
        <v>0</v>
      </c>
      <c r="J1777" t="str">
        <f>_xlfn.XLOOKUP(Table2[[#This Row],[Customer_ID]],Table1[Customer_ID],Table1[Customer_Name])</f>
        <v>Eura Gordan</v>
      </c>
    </row>
    <row r="1778" spans="1:10" x14ac:dyDescent="0.35">
      <c r="A1778" s="4">
        <v>40931</v>
      </c>
      <c r="B1778" s="2">
        <v>10792</v>
      </c>
      <c r="C1778" s="2">
        <v>153</v>
      </c>
      <c r="D1778" s="2">
        <v>45</v>
      </c>
      <c r="E1778" s="2">
        <v>45</v>
      </c>
      <c r="F1778" s="2">
        <v>2</v>
      </c>
      <c r="G1778" s="2">
        <v>2</v>
      </c>
      <c r="H1778" s="2">
        <v>856</v>
      </c>
      <c r="I1778" s="2">
        <v>0</v>
      </c>
      <c r="J1778" t="str">
        <f>_xlfn.XLOOKUP(Table2[[#This Row],[Customer_ID]],Table1[Customer_ID],Table1[Customer_Name])</f>
        <v>Everette Ellery</v>
      </c>
    </row>
    <row r="1779" spans="1:10" x14ac:dyDescent="0.35">
      <c r="A1779" s="4">
        <v>40932</v>
      </c>
      <c r="B1779" s="2">
        <v>10793</v>
      </c>
      <c r="C1779" s="2">
        <v>157</v>
      </c>
      <c r="D1779" s="2">
        <v>46</v>
      </c>
      <c r="E1779" s="2">
        <v>3</v>
      </c>
      <c r="F1779" s="2">
        <v>2</v>
      </c>
      <c r="G1779" s="2">
        <v>3</v>
      </c>
      <c r="H1779" s="2">
        <v>1297</v>
      </c>
      <c r="I1779" s="2">
        <v>0</v>
      </c>
      <c r="J1779" t="str">
        <f>_xlfn.XLOOKUP(Table2[[#This Row],[Customer_ID]],Table1[Customer_ID],Table1[Customer_Name])</f>
        <v>Fay Cumbo</v>
      </c>
    </row>
    <row r="1780" spans="1:10" x14ac:dyDescent="0.35">
      <c r="A1780" s="4">
        <v>40932</v>
      </c>
      <c r="B1780" s="2">
        <v>10793</v>
      </c>
      <c r="C1780" s="2">
        <v>177</v>
      </c>
      <c r="D1780" s="2">
        <v>46</v>
      </c>
      <c r="E1780" s="2">
        <v>3</v>
      </c>
      <c r="F1780" s="2">
        <v>2</v>
      </c>
      <c r="G1780" s="2">
        <v>6</v>
      </c>
      <c r="H1780" s="2">
        <v>758</v>
      </c>
      <c r="I1780" s="2">
        <v>0</v>
      </c>
      <c r="J1780" t="str">
        <f>_xlfn.XLOOKUP(Table2[[#This Row],[Customer_ID]],Table1[Customer_ID],Table1[Customer_Name])</f>
        <v>Fay Cumbo</v>
      </c>
    </row>
    <row r="1781" spans="1:10" x14ac:dyDescent="0.35">
      <c r="A1781" s="4">
        <v>40932</v>
      </c>
      <c r="B1781" s="2">
        <v>10795</v>
      </c>
      <c r="C1781" s="2">
        <v>215</v>
      </c>
      <c r="D1781" s="2">
        <v>48</v>
      </c>
      <c r="E1781" s="2">
        <v>19</v>
      </c>
      <c r="F1781" s="2">
        <v>2</v>
      </c>
      <c r="G1781" s="2">
        <v>9</v>
      </c>
      <c r="H1781" s="2">
        <v>6</v>
      </c>
      <c r="I1781" s="2">
        <v>0</v>
      </c>
      <c r="J1781" t="str">
        <f>_xlfn.XLOOKUP(Table2[[#This Row],[Customer_ID]],Table1[Customer_ID],Table1[Customer_Name])</f>
        <v>Federico Flores</v>
      </c>
    </row>
    <row r="1782" spans="1:10" x14ac:dyDescent="0.35">
      <c r="A1782" s="4">
        <v>40932</v>
      </c>
      <c r="B1782" s="2">
        <v>10795</v>
      </c>
      <c r="C1782" s="2">
        <v>142</v>
      </c>
      <c r="D1782" s="2">
        <v>48</v>
      </c>
      <c r="E1782" s="2">
        <v>19</v>
      </c>
      <c r="F1782" s="2">
        <v>2</v>
      </c>
      <c r="G1782" s="2">
        <v>5</v>
      </c>
      <c r="H1782" s="2">
        <v>164</v>
      </c>
      <c r="I1782" s="2">
        <v>0</v>
      </c>
      <c r="J1782" t="str">
        <f>_xlfn.XLOOKUP(Table2[[#This Row],[Customer_ID]],Table1[Customer_ID],Table1[Customer_Name])</f>
        <v>Federico Flores</v>
      </c>
    </row>
    <row r="1783" spans="1:10" x14ac:dyDescent="0.35">
      <c r="A1783" s="4">
        <v>40933</v>
      </c>
      <c r="B1783" s="2">
        <v>10797</v>
      </c>
      <c r="C1783" s="2">
        <v>315</v>
      </c>
      <c r="D1783" s="2">
        <v>50</v>
      </c>
      <c r="E1783" s="2">
        <v>83</v>
      </c>
      <c r="F1783" s="2">
        <v>2</v>
      </c>
      <c r="G1783" s="2">
        <v>2</v>
      </c>
      <c r="H1783" s="2">
        <v>7</v>
      </c>
      <c r="I1783" s="2">
        <v>0</v>
      </c>
      <c r="J1783" t="str">
        <f>_xlfn.XLOOKUP(Table2[[#This Row],[Customer_ID]],Table1[Customer_ID],Table1[Customer_Name])</f>
        <v>Gia Junkin</v>
      </c>
    </row>
    <row r="1784" spans="1:10" x14ac:dyDescent="0.35">
      <c r="A1784" s="4">
        <v>40934</v>
      </c>
      <c r="B1784" s="2">
        <v>10799</v>
      </c>
      <c r="C1784" s="2">
        <v>364</v>
      </c>
      <c r="D1784" s="2">
        <v>52</v>
      </c>
      <c r="E1784" s="2">
        <v>32</v>
      </c>
      <c r="F1784" s="2">
        <v>2</v>
      </c>
      <c r="G1784" s="2">
        <v>5</v>
      </c>
      <c r="H1784" s="2">
        <v>6</v>
      </c>
      <c r="I1784" s="2">
        <v>0</v>
      </c>
      <c r="J1784" t="str">
        <f>_xlfn.XLOOKUP(Table2[[#This Row],[Customer_ID]],Table1[Customer_ID],Table1[Customer_Name])</f>
        <v>Glennis Going</v>
      </c>
    </row>
    <row r="1785" spans="1:10" x14ac:dyDescent="0.35">
      <c r="A1785" s="4">
        <v>40934</v>
      </c>
      <c r="B1785" s="2">
        <v>10799</v>
      </c>
      <c r="C1785" s="2">
        <v>95</v>
      </c>
      <c r="D1785" s="2">
        <v>52</v>
      </c>
      <c r="E1785" s="2">
        <v>32</v>
      </c>
      <c r="F1785" s="2">
        <v>2</v>
      </c>
      <c r="G1785" s="2">
        <v>2</v>
      </c>
      <c r="H1785" s="2">
        <v>895</v>
      </c>
      <c r="I1785" s="2">
        <v>0</v>
      </c>
      <c r="J1785" t="str">
        <f>_xlfn.XLOOKUP(Table2[[#This Row],[Customer_ID]],Table1[Customer_ID],Table1[Customer_Name])</f>
        <v>Glennis Going</v>
      </c>
    </row>
    <row r="1786" spans="1:10" x14ac:dyDescent="0.35">
      <c r="A1786" s="4">
        <v>40934</v>
      </c>
      <c r="B1786" s="2">
        <v>10799</v>
      </c>
      <c r="C1786" s="2">
        <v>317</v>
      </c>
      <c r="D1786" s="2">
        <v>52</v>
      </c>
      <c r="E1786" s="2">
        <v>32</v>
      </c>
      <c r="F1786" s="2">
        <v>2</v>
      </c>
      <c r="G1786" s="2">
        <v>3</v>
      </c>
      <c r="H1786" s="2">
        <v>45</v>
      </c>
      <c r="I1786" s="2">
        <v>0</v>
      </c>
      <c r="J1786" t="str">
        <f>_xlfn.XLOOKUP(Table2[[#This Row],[Customer_ID]],Table1[Customer_ID],Table1[Customer_Name])</f>
        <v>Glennis Going</v>
      </c>
    </row>
    <row r="1787" spans="1:10" x14ac:dyDescent="0.35">
      <c r="A1787" s="4">
        <v>40937</v>
      </c>
      <c r="B1787" s="2">
        <v>10801</v>
      </c>
      <c r="C1787" s="2">
        <v>92</v>
      </c>
      <c r="D1787" s="2">
        <v>54</v>
      </c>
      <c r="E1787" s="2">
        <v>43</v>
      </c>
      <c r="F1787" s="2">
        <v>2</v>
      </c>
      <c r="G1787" s="2">
        <v>3</v>
      </c>
      <c r="H1787" s="2">
        <v>632</v>
      </c>
      <c r="I1787" s="2">
        <v>0</v>
      </c>
      <c r="J1787" t="str">
        <f>_xlfn.XLOOKUP(Table2[[#This Row],[Customer_ID]],Table1[Customer_ID],Table1[Customer_Name])</f>
        <v>Harmony Burell</v>
      </c>
    </row>
    <row r="1788" spans="1:10" x14ac:dyDescent="0.35">
      <c r="A1788" s="4">
        <v>40937</v>
      </c>
      <c r="B1788" s="2">
        <v>10801</v>
      </c>
      <c r="C1788" s="2">
        <v>100</v>
      </c>
      <c r="D1788" s="2">
        <v>54</v>
      </c>
      <c r="E1788" s="2">
        <v>43</v>
      </c>
      <c r="F1788" s="2">
        <v>2</v>
      </c>
      <c r="G1788" s="2">
        <v>2</v>
      </c>
      <c r="H1788" s="2">
        <v>1577</v>
      </c>
      <c r="I1788" s="2">
        <v>0</v>
      </c>
      <c r="J1788" t="str">
        <f>_xlfn.XLOOKUP(Table2[[#This Row],[Customer_ID]],Table1[Customer_ID],Table1[Customer_Name])</f>
        <v>Harmony Burell</v>
      </c>
    </row>
    <row r="1789" spans="1:10" x14ac:dyDescent="0.35">
      <c r="A1789" s="4">
        <v>40938</v>
      </c>
      <c r="B1789" s="2">
        <v>10805</v>
      </c>
      <c r="C1789" s="2">
        <v>445</v>
      </c>
      <c r="D1789" s="2">
        <v>58</v>
      </c>
      <c r="E1789" s="2">
        <v>40</v>
      </c>
      <c r="F1789" s="2">
        <v>2</v>
      </c>
      <c r="G1789" s="2">
        <v>3</v>
      </c>
      <c r="H1789" s="2">
        <v>46</v>
      </c>
      <c r="I1789" s="2">
        <v>0</v>
      </c>
      <c r="J1789" t="str">
        <f>_xlfn.XLOOKUP(Table2[[#This Row],[Customer_ID]],Table1[Customer_ID],Table1[Customer_Name])</f>
        <v>Isis Isom</v>
      </c>
    </row>
    <row r="1790" spans="1:10" x14ac:dyDescent="0.35">
      <c r="A1790" s="4">
        <v>40938</v>
      </c>
      <c r="B1790" s="2">
        <v>10803</v>
      </c>
      <c r="C1790" s="2">
        <v>94</v>
      </c>
      <c r="D1790" s="2">
        <v>56</v>
      </c>
      <c r="E1790" s="2">
        <v>50</v>
      </c>
      <c r="F1790" s="2">
        <v>2</v>
      </c>
      <c r="G1790" s="2">
        <v>2</v>
      </c>
      <c r="H1790" s="2">
        <v>487</v>
      </c>
      <c r="I1790" s="2">
        <v>0</v>
      </c>
      <c r="J1790" t="str">
        <f>_xlfn.XLOOKUP(Table2[[#This Row],[Customer_ID]],Table1[Customer_ID],Table1[Customer_Name])</f>
        <v>Hsiu Hinrichs</v>
      </c>
    </row>
    <row r="1791" spans="1:10" x14ac:dyDescent="0.35">
      <c r="A1791" s="4">
        <v>40938</v>
      </c>
      <c r="B1791" s="2">
        <v>10803</v>
      </c>
      <c r="C1791" s="2">
        <v>98</v>
      </c>
      <c r="D1791" s="2">
        <v>56</v>
      </c>
      <c r="E1791" s="2">
        <v>50</v>
      </c>
      <c r="F1791" s="2">
        <v>2</v>
      </c>
      <c r="G1791" s="2">
        <v>1</v>
      </c>
      <c r="H1791" s="2">
        <v>1859</v>
      </c>
      <c r="I1791" s="2">
        <v>0</v>
      </c>
      <c r="J1791" t="str">
        <f>_xlfn.XLOOKUP(Table2[[#This Row],[Customer_ID]],Table1[Customer_ID],Table1[Customer_Name])</f>
        <v>Hsiu Hinrichs</v>
      </c>
    </row>
    <row r="1792" spans="1:10" x14ac:dyDescent="0.35">
      <c r="A1792" s="4">
        <v>40938</v>
      </c>
      <c r="B1792" s="2">
        <v>10805</v>
      </c>
      <c r="C1792" s="2">
        <v>423</v>
      </c>
      <c r="D1792" s="2">
        <v>58</v>
      </c>
      <c r="E1792" s="2">
        <v>40</v>
      </c>
      <c r="F1792" s="2">
        <v>2</v>
      </c>
      <c r="G1792" s="2">
        <v>1</v>
      </c>
      <c r="H1792" s="2">
        <v>18</v>
      </c>
      <c r="I1792" s="2">
        <v>0</v>
      </c>
      <c r="J1792" t="str">
        <f>_xlfn.XLOOKUP(Table2[[#This Row],[Customer_ID]],Table1[Customer_ID],Table1[Customer_Name])</f>
        <v>Isis Isom</v>
      </c>
    </row>
    <row r="1793" spans="1:10" x14ac:dyDescent="0.35">
      <c r="A1793" s="4">
        <v>40938</v>
      </c>
      <c r="B1793" s="2">
        <v>10803</v>
      </c>
      <c r="C1793" s="2">
        <v>93</v>
      </c>
      <c r="D1793" s="2">
        <v>56</v>
      </c>
      <c r="E1793" s="2">
        <v>50</v>
      </c>
      <c r="F1793" s="2">
        <v>2</v>
      </c>
      <c r="G1793" s="2">
        <v>1</v>
      </c>
      <c r="H1793" s="2">
        <v>712</v>
      </c>
      <c r="I1793" s="2">
        <v>0</v>
      </c>
      <c r="J1793" t="str">
        <f>_xlfn.XLOOKUP(Table2[[#This Row],[Customer_ID]],Table1[Customer_ID],Table1[Customer_Name])</f>
        <v>Hsiu Hinrichs</v>
      </c>
    </row>
    <row r="1794" spans="1:10" x14ac:dyDescent="0.35">
      <c r="A1794" s="4">
        <v>40939</v>
      </c>
      <c r="B1794" s="2">
        <v>10807</v>
      </c>
      <c r="C1794" s="2">
        <v>455</v>
      </c>
      <c r="D1794" s="2">
        <v>60</v>
      </c>
      <c r="E1794" s="2">
        <v>80</v>
      </c>
      <c r="F1794" s="2">
        <v>2</v>
      </c>
      <c r="G1794" s="2">
        <v>5</v>
      </c>
      <c r="H1794" s="2">
        <v>20</v>
      </c>
      <c r="I1794" s="2">
        <v>0</v>
      </c>
      <c r="J1794" t="str">
        <f>_xlfn.XLOOKUP(Table2[[#This Row],[Customer_ID]],Table1[Customer_ID],Table1[Customer_Name])</f>
        <v>Janetta Jhonson</v>
      </c>
    </row>
    <row r="1795" spans="1:10" x14ac:dyDescent="0.35">
      <c r="A1795" s="4">
        <v>40940</v>
      </c>
      <c r="B1795" s="2">
        <v>10809</v>
      </c>
      <c r="C1795" s="2">
        <v>236</v>
      </c>
      <c r="D1795" s="2">
        <v>62</v>
      </c>
      <c r="E1795" s="2">
        <v>53</v>
      </c>
      <c r="F1795" s="2">
        <v>2</v>
      </c>
      <c r="G1795" s="2">
        <v>5</v>
      </c>
      <c r="H1795" s="2">
        <v>28</v>
      </c>
      <c r="I1795" s="2">
        <v>0</v>
      </c>
      <c r="J1795" t="str">
        <f>_xlfn.XLOOKUP(Table2[[#This Row],[Customer_ID]],Table1[Customer_ID],Table1[Customer_Name])</f>
        <v>Jeanine Chavez</v>
      </c>
    </row>
    <row r="1796" spans="1:10" x14ac:dyDescent="0.35">
      <c r="A1796" s="4">
        <v>40941</v>
      </c>
      <c r="B1796" s="2">
        <v>10811</v>
      </c>
      <c r="C1796" s="2">
        <v>60</v>
      </c>
      <c r="D1796" s="2">
        <v>64</v>
      </c>
      <c r="E1796" s="2">
        <v>10</v>
      </c>
      <c r="F1796" s="2">
        <v>2</v>
      </c>
      <c r="G1796" s="2">
        <v>1</v>
      </c>
      <c r="H1796" s="2">
        <v>4</v>
      </c>
      <c r="I1796" s="2">
        <v>0</v>
      </c>
      <c r="J1796" t="str">
        <f>_xlfn.XLOOKUP(Table2[[#This Row],[Customer_ID]],Table1[Customer_ID],Table1[Customer_Name])</f>
        <v>Josephine Escoto</v>
      </c>
    </row>
    <row r="1797" spans="1:10" x14ac:dyDescent="0.35">
      <c r="A1797" s="4">
        <v>40941</v>
      </c>
      <c r="B1797" s="2">
        <v>10811</v>
      </c>
      <c r="C1797" s="2">
        <v>64</v>
      </c>
      <c r="D1797" s="2">
        <v>64</v>
      </c>
      <c r="E1797" s="2">
        <v>10</v>
      </c>
      <c r="F1797" s="2">
        <v>2</v>
      </c>
      <c r="G1797" s="2">
        <v>6</v>
      </c>
      <c r="H1797" s="2">
        <v>6</v>
      </c>
      <c r="I1797" s="2">
        <v>0</v>
      </c>
      <c r="J1797" t="str">
        <f>_xlfn.XLOOKUP(Table2[[#This Row],[Customer_ID]],Table1[Customer_ID],Table1[Customer_Name])</f>
        <v>Josephine Escoto</v>
      </c>
    </row>
    <row r="1798" spans="1:10" x14ac:dyDescent="0.35">
      <c r="A1798" s="4">
        <v>40941</v>
      </c>
      <c r="B1798" s="2">
        <v>10811</v>
      </c>
      <c r="C1798" s="2">
        <v>61</v>
      </c>
      <c r="D1798" s="2">
        <v>64</v>
      </c>
      <c r="E1798" s="2">
        <v>10</v>
      </c>
      <c r="F1798" s="2">
        <v>2</v>
      </c>
      <c r="G1798" s="2">
        <v>2</v>
      </c>
      <c r="H1798" s="2">
        <v>4</v>
      </c>
      <c r="I1798" s="2">
        <v>0</v>
      </c>
      <c r="J1798" t="str">
        <f>_xlfn.XLOOKUP(Table2[[#This Row],[Customer_ID]],Table1[Customer_ID],Table1[Customer_Name])</f>
        <v>Josephine Escoto</v>
      </c>
    </row>
    <row r="1799" spans="1:10" x14ac:dyDescent="0.35">
      <c r="A1799" s="4">
        <v>40944</v>
      </c>
      <c r="B1799" s="2">
        <v>10813</v>
      </c>
      <c r="C1799" s="2">
        <v>192</v>
      </c>
      <c r="D1799" s="2">
        <v>66</v>
      </c>
      <c r="F1799" s="2">
        <v>2</v>
      </c>
      <c r="G1799" s="2">
        <v>8</v>
      </c>
      <c r="H1799" s="2">
        <v>10</v>
      </c>
      <c r="I1799" s="2">
        <v>0</v>
      </c>
      <c r="J1799" t="str">
        <f>_xlfn.XLOOKUP(Table2[[#This Row],[Customer_ID]],Table1[Customer_ID],Table1[Customer_Name])</f>
        <v>Julieta Hard</v>
      </c>
    </row>
    <row r="1800" spans="1:10" x14ac:dyDescent="0.35">
      <c r="A1800" s="4">
        <v>40944</v>
      </c>
      <c r="B1800" s="2">
        <v>10813</v>
      </c>
      <c r="C1800" s="2">
        <v>62</v>
      </c>
      <c r="D1800" s="2">
        <v>66</v>
      </c>
      <c r="F1800" s="2">
        <v>2</v>
      </c>
      <c r="G1800" s="2">
        <v>3</v>
      </c>
      <c r="H1800" s="2">
        <v>6</v>
      </c>
      <c r="I1800" s="2">
        <v>0</v>
      </c>
      <c r="J1800" t="str">
        <f>_xlfn.XLOOKUP(Table2[[#This Row],[Customer_ID]],Table1[Customer_ID],Table1[Customer_Name])</f>
        <v>Julieta Hard</v>
      </c>
    </row>
    <row r="1801" spans="1:10" x14ac:dyDescent="0.35">
      <c r="A1801" s="4">
        <v>40944</v>
      </c>
      <c r="B1801" s="2">
        <v>10815</v>
      </c>
      <c r="C1801" s="2">
        <v>409</v>
      </c>
      <c r="D1801" s="2">
        <v>68</v>
      </c>
      <c r="F1801" s="2">
        <v>2</v>
      </c>
      <c r="G1801" s="2">
        <v>5</v>
      </c>
      <c r="H1801" s="2">
        <v>10</v>
      </c>
      <c r="I1801" s="2">
        <v>0</v>
      </c>
      <c r="J1801" t="str">
        <f>_xlfn.XLOOKUP(Table2[[#This Row],[Customer_ID]],Table1[Customer_ID],Table1[Customer_Name])</f>
        <v>Kandy Tully</v>
      </c>
    </row>
    <row r="1802" spans="1:10" x14ac:dyDescent="0.35">
      <c r="A1802" s="4">
        <v>40945</v>
      </c>
      <c r="B1802" s="2">
        <v>10817</v>
      </c>
      <c r="C1802" s="2">
        <v>189</v>
      </c>
      <c r="D1802" s="2">
        <v>70</v>
      </c>
      <c r="F1802" s="2">
        <v>2</v>
      </c>
      <c r="G1802" s="2">
        <v>1</v>
      </c>
      <c r="H1802" s="2">
        <v>9</v>
      </c>
      <c r="I1802" s="2">
        <v>0</v>
      </c>
      <c r="J1802" t="str">
        <f>_xlfn.XLOOKUP(Table2[[#This Row],[Customer_ID]],Table1[Customer_ID],Table1[Customer_Name])</f>
        <v>Karina Lisle</v>
      </c>
    </row>
    <row r="1803" spans="1:10" x14ac:dyDescent="0.35">
      <c r="A1803" s="4">
        <v>40945</v>
      </c>
      <c r="B1803" s="2">
        <v>10817</v>
      </c>
      <c r="C1803" s="2">
        <v>411</v>
      </c>
      <c r="D1803" s="2">
        <v>70</v>
      </c>
      <c r="F1803" s="2">
        <v>2</v>
      </c>
      <c r="G1803" s="2">
        <v>8</v>
      </c>
      <c r="H1803" s="2">
        <v>16</v>
      </c>
      <c r="I1803" s="2">
        <v>0</v>
      </c>
      <c r="J1803" t="str">
        <f>_xlfn.XLOOKUP(Table2[[#This Row],[Customer_ID]],Table1[Customer_ID],Table1[Customer_Name])</f>
        <v>Karina Lisle</v>
      </c>
    </row>
    <row r="1804" spans="1:10" x14ac:dyDescent="0.35">
      <c r="A1804" s="4">
        <v>40945</v>
      </c>
      <c r="B1804" s="2">
        <v>10817</v>
      </c>
      <c r="C1804" s="2">
        <v>214</v>
      </c>
      <c r="D1804" s="2">
        <v>70</v>
      </c>
      <c r="F1804" s="2">
        <v>2</v>
      </c>
      <c r="G1804" s="2">
        <v>6</v>
      </c>
      <c r="H1804" s="2">
        <v>7</v>
      </c>
      <c r="I1804" s="2">
        <v>0</v>
      </c>
      <c r="J1804" t="str">
        <f>_xlfn.XLOOKUP(Table2[[#This Row],[Customer_ID]],Table1[Customer_ID],Table1[Customer_Name])</f>
        <v>Karina Lisle</v>
      </c>
    </row>
    <row r="1805" spans="1:10" x14ac:dyDescent="0.35">
      <c r="A1805" s="4">
        <v>40945</v>
      </c>
      <c r="B1805" s="2">
        <v>10817</v>
      </c>
      <c r="C1805" s="2">
        <v>226</v>
      </c>
      <c r="D1805" s="2">
        <v>70</v>
      </c>
      <c r="F1805" s="2">
        <v>2</v>
      </c>
      <c r="G1805" s="2">
        <v>1</v>
      </c>
      <c r="H1805" s="2">
        <v>4</v>
      </c>
      <c r="I1805" s="2">
        <v>0</v>
      </c>
      <c r="J1805" t="str">
        <f>_xlfn.XLOOKUP(Table2[[#This Row],[Customer_ID]],Table1[Customer_ID],Table1[Customer_Name])</f>
        <v>Karina Lisle</v>
      </c>
    </row>
    <row r="1806" spans="1:10" x14ac:dyDescent="0.35">
      <c r="A1806" s="4">
        <v>40946</v>
      </c>
      <c r="B1806" s="2">
        <v>10819</v>
      </c>
      <c r="C1806" s="2">
        <v>419</v>
      </c>
      <c r="D1806" s="2">
        <v>72</v>
      </c>
      <c r="F1806" s="2">
        <v>2</v>
      </c>
      <c r="G1806" s="2">
        <v>8</v>
      </c>
      <c r="H1806" s="2">
        <v>13</v>
      </c>
      <c r="I1806" s="2">
        <v>0</v>
      </c>
      <c r="J1806" t="str">
        <f>_xlfn.XLOOKUP(Table2[[#This Row],[Customer_ID]],Table1[Customer_ID],Table1[Customer_Name])</f>
        <v>Karla Munoz</v>
      </c>
    </row>
    <row r="1807" spans="1:10" x14ac:dyDescent="0.35">
      <c r="A1807" s="4">
        <v>40946</v>
      </c>
      <c r="B1807" s="2">
        <v>10819</v>
      </c>
      <c r="C1807" s="2">
        <v>300</v>
      </c>
      <c r="D1807" s="2">
        <v>72</v>
      </c>
      <c r="F1807" s="2">
        <v>2</v>
      </c>
      <c r="G1807" s="2">
        <v>1</v>
      </c>
      <c r="H1807" s="2">
        <v>19</v>
      </c>
      <c r="I1807" s="2">
        <v>0</v>
      </c>
      <c r="J1807" t="str">
        <f>_xlfn.XLOOKUP(Table2[[#This Row],[Customer_ID]],Table1[Customer_ID],Table1[Customer_Name])</f>
        <v>Karla Munoz</v>
      </c>
    </row>
    <row r="1808" spans="1:10" x14ac:dyDescent="0.35">
      <c r="A1808" s="4">
        <v>40947</v>
      </c>
      <c r="B1808" s="2">
        <v>10821</v>
      </c>
      <c r="C1808" s="2">
        <v>402</v>
      </c>
      <c r="D1808" s="2">
        <v>74</v>
      </c>
      <c r="F1808" s="2">
        <v>2</v>
      </c>
      <c r="G1808" s="2">
        <v>4</v>
      </c>
      <c r="H1808" s="2">
        <v>13</v>
      </c>
      <c r="I1808" s="2">
        <v>0</v>
      </c>
      <c r="J1808" t="str">
        <f>_xlfn.XLOOKUP(Table2[[#This Row],[Customer_ID]],Table1[Customer_ID],Table1[Customer_Name])</f>
        <v>Kazuko Serrato</v>
      </c>
    </row>
    <row r="1809" spans="1:10" x14ac:dyDescent="0.35">
      <c r="A1809" s="4">
        <v>40947</v>
      </c>
      <c r="B1809" s="2">
        <v>10821</v>
      </c>
      <c r="C1809" s="2">
        <v>438</v>
      </c>
      <c r="D1809" s="2">
        <v>74</v>
      </c>
      <c r="F1809" s="2">
        <v>2</v>
      </c>
      <c r="G1809" s="2">
        <v>4</v>
      </c>
      <c r="H1809" s="2">
        <v>8</v>
      </c>
      <c r="I1809" s="2">
        <v>0</v>
      </c>
      <c r="J1809" t="str">
        <f>_xlfn.XLOOKUP(Table2[[#This Row],[Customer_ID]],Table1[Customer_ID],Table1[Customer_Name])</f>
        <v>Kazuko Serrato</v>
      </c>
    </row>
    <row r="1810" spans="1:10" x14ac:dyDescent="0.35">
      <c r="A1810" s="4">
        <v>40948</v>
      </c>
      <c r="B1810" s="2">
        <v>10825</v>
      </c>
      <c r="C1810" s="2">
        <v>261</v>
      </c>
      <c r="D1810" s="2">
        <v>78</v>
      </c>
      <c r="F1810" s="2">
        <v>2</v>
      </c>
      <c r="G1810" s="2">
        <v>4</v>
      </c>
      <c r="H1810" s="2">
        <v>5</v>
      </c>
      <c r="I1810" s="2">
        <v>0</v>
      </c>
      <c r="J1810" t="str">
        <f>_xlfn.XLOOKUP(Table2[[#This Row],[Customer_ID]],Table1[Customer_ID],Table1[Customer_Name])</f>
        <v>Lacey Rollison</v>
      </c>
    </row>
    <row r="1811" spans="1:10" x14ac:dyDescent="0.35">
      <c r="A1811" s="4">
        <v>40948</v>
      </c>
      <c r="B1811" s="2">
        <v>10823</v>
      </c>
      <c r="C1811" s="2">
        <v>329</v>
      </c>
      <c r="D1811" s="2">
        <v>76</v>
      </c>
      <c r="F1811" s="2">
        <v>2</v>
      </c>
      <c r="G1811" s="2">
        <v>3</v>
      </c>
      <c r="H1811" s="2">
        <v>21</v>
      </c>
      <c r="I1811" s="2">
        <v>0</v>
      </c>
      <c r="J1811" t="str">
        <f>_xlfn.XLOOKUP(Table2[[#This Row],[Customer_ID]],Table1[Customer_ID],Table1[Customer_Name])</f>
        <v>Khalilah Demaria</v>
      </c>
    </row>
    <row r="1812" spans="1:10" x14ac:dyDescent="0.35">
      <c r="A1812" s="4">
        <v>40948</v>
      </c>
      <c r="B1812" s="2">
        <v>10823</v>
      </c>
      <c r="C1812" s="2">
        <v>339</v>
      </c>
      <c r="D1812" s="2">
        <v>76</v>
      </c>
      <c r="F1812" s="2">
        <v>2</v>
      </c>
      <c r="G1812" s="2">
        <v>6</v>
      </c>
      <c r="H1812" s="2">
        <v>2</v>
      </c>
      <c r="I1812" s="2">
        <v>0</v>
      </c>
      <c r="J1812" t="str">
        <f>_xlfn.XLOOKUP(Table2[[#This Row],[Customer_ID]],Table1[Customer_ID],Table1[Customer_Name])</f>
        <v>Khalilah Demaria</v>
      </c>
    </row>
    <row r="1813" spans="1:10" x14ac:dyDescent="0.35">
      <c r="A1813" s="4">
        <v>40948</v>
      </c>
      <c r="B1813" s="2">
        <v>10823</v>
      </c>
      <c r="C1813" s="2">
        <v>212</v>
      </c>
      <c r="D1813" s="2">
        <v>76</v>
      </c>
      <c r="F1813" s="2">
        <v>2</v>
      </c>
      <c r="G1813" s="2">
        <v>6</v>
      </c>
      <c r="H1813" s="2">
        <v>32</v>
      </c>
      <c r="I1813" s="2">
        <v>0</v>
      </c>
      <c r="J1813" t="str">
        <f>_xlfn.XLOOKUP(Table2[[#This Row],[Customer_ID]],Table1[Customer_ID],Table1[Customer_Name])</f>
        <v>Khalilah Demaria</v>
      </c>
    </row>
    <row r="1814" spans="1:10" x14ac:dyDescent="0.35">
      <c r="A1814" s="4">
        <v>40948</v>
      </c>
      <c r="B1814" s="2">
        <v>10825</v>
      </c>
      <c r="C1814" s="2">
        <v>256</v>
      </c>
      <c r="D1814" s="2">
        <v>78</v>
      </c>
      <c r="F1814" s="2">
        <v>2</v>
      </c>
      <c r="G1814" s="2">
        <v>8</v>
      </c>
      <c r="H1814" s="2">
        <v>5</v>
      </c>
      <c r="I1814" s="2">
        <v>0</v>
      </c>
      <c r="J1814" t="str">
        <f>_xlfn.XLOOKUP(Table2[[#This Row],[Customer_ID]],Table1[Customer_ID],Table1[Customer_Name])</f>
        <v>Lacey Rollison</v>
      </c>
    </row>
    <row r="1815" spans="1:10" x14ac:dyDescent="0.35">
      <c r="A1815" s="4">
        <v>40948</v>
      </c>
      <c r="B1815" s="2">
        <v>10823</v>
      </c>
      <c r="C1815" s="2">
        <v>204</v>
      </c>
      <c r="D1815" s="2">
        <v>76</v>
      </c>
      <c r="F1815" s="2">
        <v>2</v>
      </c>
      <c r="G1815" s="2">
        <v>1</v>
      </c>
      <c r="H1815" s="2">
        <v>9</v>
      </c>
      <c r="I1815" s="2">
        <v>0</v>
      </c>
      <c r="J1815" t="str">
        <f>_xlfn.XLOOKUP(Table2[[#This Row],[Customer_ID]],Table1[Customer_ID],Table1[Customer_Name])</f>
        <v>Khalilah Demaria</v>
      </c>
    </row>
    <row r="1816" spans="1:10" x14ac:dyDescent="0.35">
      <c r="A1816" s="4">
        <v>40951</v>
      </c>
      <c r="B1816" s="2">
        <v>10827</v>
      </c>
      <c r="C1816" s="2">
        <v>348</v>
      </c>
      <c r="D1816" s="2">
        <v>80</v>
      </c>
      <c r="F1816" s="2">
        <v>2</v>
      </c>
      <c r="G1816" s="2">
        <v>3</v>
      </c>
      <c r="H1816" s="2">
        <v>2</v>
      </c>
      <c r="I1816" s="2">
        <v>0</v>
      </c>
      <c r="J1816" t="str">
        <f>_xlfn.XLOOKUP(Table2[[#This Row],[Customer_ID]],Table1[Customer_ID],Table1[Customer_Name])</f>
        <v>Lashaunda Mynatt</v>
      </c>
    </row>
    <row r="1817" spans="1:10" x14ac:dyDescent="0.35">
      <c r="A1817" s="4">
        <v>40951</v>
      </c>
      <c r="B1817" s="2">
        <v>10827</v>
      </c>
      <c r="C1817" s="2">
        <v>366</v>
      </c>
      <c r="D1817" s="2">
        <v>80</v>
      </c>
      <c r="F1817" s="2">
        <v>2</v>
      </c>
      <c r="G1817" s="2">
        <v>1</v>
      </c>
      <c r="H1817" s="2">
        <v>7</v>
      </c>
      <c r="I1817" s="2">
        <v>0</v>
      </c>
      <c r="J1817" t="str">
        <f>_xlfn.XLOOKUP(Table2[[#This Row],[Customer_ID]],Table1[Customer_ID],Table1[Customer_Name])</f>
        <v>Lashaunda Mynatt</v>
      </c>
    </row>
    <row r="1818" spans="1:10" x14ac:dyDescent="0.35">
      <c r="A1818" s="4">
        <v>40952</v>
      </c>
      <c r="B1818" s="2">
        <v>10829</v>
      </c>
      <c r="C1818" s="2">
        <v>190</v>
      </c>
      <c r="D1818" s="2">
        <v>82</v>
      </c>
      <c r="F1818" s="2">
        <v>2</v>
      </c>
      <c r="G1818" s="2">
        <v>5</v>
      </c>
      <c r="H1818" s="2">
        <v>4</v>
      </c>
      <c r="I1818" s="2">
        <v>0</v>
      </c>
      <c r="J1818" t="str">
        <f>_xlfn.XLOOKUP(Table2[[#This Row],[Customer_ID]],Table1[Customer_ID],Table1[Customer_Name])</f>
        <v>Lesley Rue</v>
      </c>
    </row>
    <row r="1819" spans="1:10" x14ac:dyDescent="0.35">
      <c r="A1819" s="4">
        <v>40952</v>
      </c>
      <c r="B1819" s="2">
        <v>10829</v>
      </c>
      <c r="C1819" s="2">
        <v>363</v>
      </c>
      <c r="D1819" s="2">
        <v>82</v>
      </c>
      <c r="F1819" s="2">
        <v>2</v>
      </c>
      <c r="G1819" s="2">
        <v>8</v>
      </c>
      <c r="H1819" s="2">
        <v>2</v>
      </c>
      <c r="I1819" s="2">
        <v>0</v>
      </c>
      <c r="J1819" t="str">
        <f>_xlfn.XLOOKUP(Table2[[#This Row],[Customer_ID]],Table1[Customer_ID],Table1[Customer_Name])</f>
        <v>Lesley Rue</v>
      </c>
    </row>
    <row r="1820" spans="1:10" x14ac:dyDescent="0.35">
      <c r="A1820" s="4">
        <v>40952</v>
      </c>
      <c r="B1820" s="2">
        <v>10829</v>
      </c>
      <c r="C1820" s="2">
        <v>324</v>
      </c>
      <c r="D1820" s="2">
        <v>82</v>
      </c>
      <c r="F1820" s="2">
        <v>2</v>
      </c>
      <c r="G1820" s="2">
        <v>7</v>
      </c>
      <c r="H1820" s="2">
        <v>8</v>
      </c>
      <c r="I1820" s="2">
        <v>0</v>
      </c>
      <c r="J1820" t="str">
        <f>_xlfn.XLOOKUP(Table2[[#This Row],[Customer_ID]],Table1[Customer_ID],Table1[Customer_Name])</f>
        <v>Lesley Rue</v>
      </c>
    </row>
    <row r="1821" spans="1:10" x14ac:dyDescent="0.35">
      <c r="A1821" s="4">
        <v>40952</v>
      </c>
      <c r="B1821" s="2">
        <v>10829</v>
      </c>
      <c r="C1821" s="2">
        <v>367</v>
      </c>
      <c r="D1821" s="2">
        <v>82</v>
      </c>
      <c r="F1821" s="2">
        <v>2</v>
      </c>
      <c r="G1821" s="2">
        <v>6</v>
      </c>
      <c r="H1821" s="2">
        <v>10</v>
      </c>
      <c r="I1821" s="2">
        <v>0</v>
      </c>
      <c r="J1821" t="str">
        <f>_xlfn.XLOOKUP(Table2[[#This Row],[Customer_ID]],Table1[Customer_ID],Table1[Customer_Name])</f>
        <v>Lesley Rue</v>
      </c>
    </row>
    <row r="1822" spans="1:10" x14ac:dyDescent="0.35">
      <c r="A1822" s="4">
        <v>40953</v>
      </c>
      <c r="B1822" s="2">
        <v>10831</v>
      </c>
      <c r="C1822" s="2">
        <v>285</v>
      </c>
      <c r="D1822" s="2">
        <v>84</v>
      </c>
      <c r="F1822" s="2">
        <v>2</v>
      </c>
      <c r="G1822" s="2">
        <v>6</v>
      </c>
      <c r="H1822" s="2">
        <v>5</v>
      </c>
      <c r="I1822" s="2">
        <v>0</v>
      </c>
      <c r="J1822" t="str">
        <f>_xlfn.XLOOKUP(Table2[[#This Row],[Customer_ID]],Table1[Customer_ID],Table1[Customer_Name])</f>
        <v>Linn Muncy</v>
      </c>
    </row>
    <row r="1823" spans="1:10" x14ac:dyDescent="0.35">
      <c r="A1823" s="4">
        <v>40953</v>
      </c>
      <c r="B1823" s="2">
        <v>10831</v>
      </c>
      <c r="C1823" s="2">
        <v>288</v>
      </c>
      <c r="D1823" s="2">
        <v>84</v>
      </c>
      <c r="F1823" s="2">
        <v>2</v>
      </c>
      <c r="G1823" s="2">
        <v>9</v>
      </c>
      <c r="H1823" s="2">
        <v>3</v>
      </c>
      <c r="I1823" s="2">
        <v>0</v>
      </c>
      <c r="J1823" t="str">
        <f>_xlfn.XLOOKUP(Table2[[#This Row],[Customer_ID]],Table1[Customer_ID],Table1[Customer_Name])</f>
        <v>Linn Muncy</v>
      </c>
    </row>
    <row r="1824" spans="1:10" x14ac:dyDescent="0.35">
      <c r="A1824" s="4">
        <v>40953</v>
      </c>
      <c r="B1824" s="2">
        <v>10831</v>
      </c>
      <c r="C1824" s="2">
        <v>286</v>
      </c>
      <c r="D1824" s="2">
        <v>84</v>
      </c>
      <c r="F1824" s="2">
        <v>2</v>
      </c>
      <c r="G1824" s="2">
        <v>5</v>
      </c>
      <c r="H1824" s="2">
        <v>4</v>
      </c>
      <c r="I1824" s="2">
        <v>0</v>
      </c>
      <c r="J1824" t="str">
        <f>_xlfn.XLOOKUP(Table2[[#This Row],[Customer_ID]],Table1[Customer_ID],Table1[Customer_Name])</f>
        <v>Linn Muncy</v>
      </c>
    </row>
    <row r="1825" spans="1:10" x14ac:dyDescent="0.35">
      <c r="A1825" s="4">
        <v>40953</v>
      </c>
      <c r="B1825" s="2">
        <v>10831</v>
      </c>
      <c r="C1825" s="2">
        <v>343</v>
      </c>
      <c r="D1825" s="2">
        <v>84</v>
      </c>
      <c r="F1825" s="2">
        <v>2</v>
      </c>
      <c r="G1825" s="2">
        <v>3</v>
      </c>
      <c r="H1825" s="2">
        <v>4</v>
      </c>
      <c r="I1825" s="2">
        <v>0</v>
      </c>
      <c r="J1825" t="str">
        <f>_xlfn.XLOOKUP(Table2[[#This Row],[Customer_ID]],Table1[Customer_ID],Table1[Customer_Name])</f>
        <v>Linn Muncy</v>
      </c>
    </row>
    <row r="1826" spans="1:10" x14ac:dyDescent="0.35">
      <c r="A1826" s="4">
        <v>40954</v>
      </c>
      <c r="B1826" s="2">
        <v>10833</v>
      </c>
      <c r="C1826" s="2">
        <v>111</v>
      </c>
      <c r="D1826" s="2">
        <v>86</v>
      </c>
      <c r="F1826" s="2">
        <v>2</v>
      </c>
      <c r="G1826" s="2">
        <v>5</v>
      </c>
      <c r="H1826" s="2">
        <v>547</v>
      </c>
      <c r="I1826" s="2">
        <v>0</v>
      </c>
      <c r="J1826" t="str">
        <f>_xlfn.XLOOKUP(Table2[[#This Row],[Customer_ID]],Table1[Customer_ID],Table1[Customer_Name])</f>
        <v>Louann Luck</v>
      </c>
    </row>
    <row r="1827" spans="1:10" x14ac:dyDescent="0.35">
      <c r="A1827" s="4">
        <v>40954</v>
      </c>
      <c r="B1827" s="2">
        <v>10835</v>
      </c>
      <c r="C1827" s="2">
        <v>103</v>
      </c>
      <c r="D1827" s="2">
        <v>88</v>
      </c>
      <c r="F1827" s="2">
        <v>2</v>
      </c>
      <c r="G1827" s="2">
        <v>6</v>
      </c>
      <c r="H1827" s="2">
        <v>560</v>
      </c>
      <c r="I1827" s="2">
        <v>0</v>
      </c>
      <c r="J1827" t="str">
        <f>_xlfn.XLOOKUP(Table2[[#This Row],[Customer_ID]],Table1[Customer_ID],Table1[Customer_Name])</f>
        <v>Marlene Daniell</v>
      </c>
    </row>
    <row r="1828" spans="1:10" x14ac:dyDescent="0.35">
      <c r="A1828" s="4">
        <v>40954</v>
      </c>
      <c r="B1828" s="2">
        <v>10835</v>
      </c>
      <c r="C1828" s="2">
        <v>104</v>
      </c>
      <c r="D1828" s="2">
        <v>88</v>
      </c>
      <c r="F1828" s="2">
        <v>2</v>
      </c>
      <c r="G1828" s="2">
        <v>1</v>
      </c>
      <c r="H1828" s="2">
        <v>661</v>
      </c>
      <c r="I1828" s="2">
        <v>0</v>
      </c>
      <c r="J1828" t="str">
        <f>_xlfn.XLOOKUP(Table2[[#This Row],[Customer_ID]],Table1[Customer_ID],Table1[Customer_Name])</f>
        <v>Marlene Daniell</v>
      </c>
    </row>
    <row r="1829" spans="1:10" x14ac:dyDescent="0.35">
      <c r="A1829" s="4">
        <v>40954</v>
      </c>
      <c r="B1829" s="2">
        <v>10833</v>
      </c>
      <c r="C1829" s="2">
        <v>106</v>
      </c>
      <c r="D1829" s="2">
        <v>86</v>
      </c>
      <c r="F1829" s="2">
        <v>2</v>
      </c>
      <c r="G1829" s="2">
        <v>1</v>
      </c>
      <c r="H1829" s="2">
        <v>467</v>
      </c>
      <c r="I1829" s="2">
        <v>0</v>
      </c>
      <c r="J1829" t="str">
        <f>_xlfn.XLOOKUP(Table2[[#This Row],[Customer_ID]],Table1[Customer_ID],Table1[Customer_Name])</f>
        <v>Louann Luck</v>
      </c>
    </row>
    <row r="1830" spans="1:10" x14ac:dyDescent="0.35">
      <c r="A1830" s="4">
        <v>40954</v>
      </c>
      <c r="B1830" s="2">
        <v>10833</v>
      </c>
      <c r="C1830" s="2">
        <v>112</v>
      </c>
      <c r="D1830" s="2">
        <v>86</v>
      </c>
      <c r="F1830" s="2">
        <v>2</v>
      </c>
      <c r="G1830" s="2">
        <v>5</v>
      </c>
      <c r="H1830" s="2">
        <v>493</v>
      </c>
      <c r="I1830" s="2">
        <v>0</v>
      </c>
      <c r="J1830" t="str">
        <f>_xlfn.XLOOKUP(Table2[[#This Row],[Customer_ID]],Table1[Customer_ID],Table1[Customer_Name])</f>
        <v>Louann Luck</v>
      </c>
    </row>
    <row r="1831" spans="1:10" x14ac:dyDescent="0.35">
      <c r="A1831" s="4">
        <v>40955</v>
      </c>
      <c r="B1831" s="2">
        <v>10837</v>
      </c>
      <c r="C1831" s="2">
        <v>63</v>
      </c>
      <c r="D1831" s="2">
        <v>90</v>
      </c>
      <c r="F1831" s="2">
        <v>2</v>
      </c>
      <c r="G1831" s="2">
        <v>5</v>
      </c>
      <c r="H1831" s="2">
        <v>3</v>
      </c>
      <c r="I1831" s="2">
        <v>0</v>
      </c>
      <c r="J1831" t="str">
        <f>_xlfn.XLOOKUP(Table2[[#This Row],[Customer_ID]],Table1[Customer_ID],Table1[Customer_Name])</f>
        <v>Maxwell Wengert</v>
      </c>
    </row>
    <row r="1832" spans="1:10" x14ac:dyDescent="0.35">
      <c r="A1832" s="4">
        <v>40955</v>
      </c>
      <c r="B1832" s="2">
        <v>10837</v>
      </c>
      <c r="C1832" s="2">
        <v>23</v>
      </c>
      <c r="D1832" s="2">
        <v>90</v>
      </c>
      <c r="F1832" s="2">
        <v>2</v>
      </c>
      <c r="G1832" s="2">
        <v>1</v>
      </c>
      <c r="H1832" s="2">
        <v>484</v>
      </c>
      <c r="I1832" s="2">
        <v>0</v>
      </c>
      <c r="J1832" t="str">
        <f>_xlfn.XLOOKUP(Table2[[#This Row],[Customer_ID]],Table1[Customer_ID],Table1[Customer_Name])</f>
        <v>Maxwell Wengert</v>
      </c>
    </row>
    <row r="1833" spans="1:10" x14ac:dyDescent="0.35">
      <c r="A1833" s="4">
        <v>40955</v>
      </c>
      <c r="B1833" s="2">
        <v>10837</v>
      </c>
      <c r="C1833" s="2">
        <v>25</v>
      </c>
      <c r="D1833" s="2">
        <v>90</v>
      </c>
      <c r="F1833" s="2">
        <v>2</v>
      </c>
      <c r="G1833" s="2">
        <v>2</v>
      </c>
      <c r="H1833" s="2">
        <v>364</v>
      </c>
      <c r="I1833" s="2">
        <v>0</v>
      </c>
      <c r="J1833" t="str">
        <f>_xlfn.XLOOKUP(Table2[[#This Row],[Customer_ID]],Table1[Customer_ID],Table1[Customer_Name])</f>
        <v>Maxwell Wengert</v>
      </c>
    </row>
    <row r="1834" spans="1:10" x14ac:dyDescent="0.35">
      <c r="A1834" s="4">
        <v>40955</v>
      </c>
      <c r="B1834" s="2">
        <v>10837</v>
      </c>
      <c r="C1834" s="2">
        <v>24</v>
      </c>
      <c r="D1834" s="2">
        <v>90</v>
      </c>
      <c r="F1834" s="2">
        <v>2</v>
      </c>
      <c r="G1834" s="2">
        <v>1</v>
      </c>
      <c r="H1834" s="2">
        <v>456</v>
      </c>
      <c r="I1834" s="2">
        <v>0</v>
      </c>
      <c r="J1834" t="str">
        <f>_xlfn.XLOOKUP(Table2[[#This Row],[Customer_ID]],Table1[Customer_ID],Table1[Customer_Name])</f>
        <v>Maxwell Wengert</v>
      </c>
    </row>
    <row r="1835" spans="1:10" x14ac:dyDescent="0.35">
      <c r="A1835" s="4">
        <v>40958</v>
      </c>
      <c r="B1835" s="2">
        <v>10839</v>
      </c>
      <c r="C1835" s="2">
        <v>260</v>
      </c>
      <c r="D1835" s="2">
        <v>92</v>
      </c>
      <c r="F1835" s="2">
        <v>2</v>
      </c>
      <c r="G1835" s="2">
        <v>4</v>
      </c>
      <c r="H1835" s="2">
        <v>15</v>
      </c>
      <c r="I1835" s="2">
        <v>0</v>
      </c>
      <c r="J1835" t="str">
        <f>_xlfn.XLOOKUP(Table2[[#This Row],[Customer_ID]],Table1[Customer_ID],Table1[Customer_Name])</f>
        <v>Mercedes Godin</v>
      </c>
    </row>
    <row r="1836" spans="1:10" x14ac:dyDescent="0.35">
      <c r="A1836" s="4">
        <v>40958</v>
      </c>
      <c r="B1836" s="2">
        <v>10839</v>
      </c>
      <c r="C1836" s="2">
        <v>405</v>
      </c>
      <c r="D1836" s="2">
        <v>92</v>
      </c>
      <c r="F1836" s="2">
        <v>2</v>
      </c>
      <c r="G1836" s="2">
        <v>4</v>
      </c>
      <c r="H1836" s="2">
        <v>13</v>
      </c>
      <c r="I1836" s="2">
        <v>0</v>
      </c>
      <c r="J1836" t="str">
        <f>_xlfn.XLOOKUP(Table2[[#This Row],[Customer_ID]],Table1[Customer_ID],Table1[Customer_Name])</f>
        <v>Mercedes Godin</v>
      </c>
    </row>
    <row r="1837" spans="1:10" x14ac:dyDescent="0.35">
      <c r="A1837" s="4">
        <v>40959</v>
      </c>
      <c r="B1837" s="2">
        <v>10841</v>
      </c>
      <c r="C1837" s="2">
        <v>281</v>
      </c>
      <c r="D1837" s="2">
        <v>94</v>
      </c>
      <c r="F1837" s="2">
        <v>2</v>
      </c>
      <c r="G1837" s="2">
        <v>3</v>
      </c>
      <c r="H1837" s="2">
        <v>4</v>
      </c>
      <c r="I1837" s="2">
        <v>0</v>
      </c>
      <c r="J1837" t="str">
        <f>_xlfn.XLOOKUP(Table2[[#This Row],[Customer_ID]],Table1[Customer_ID],Table1[Customer_Name])</f>
        <v>Michelina Manners</v>
      </c>
    </row>
    <row r="1838" spans="1:10" x14ac:dyDescent="0.35">
      <c r="A1838" s="4">
        <v>40959</v>
      </c>
      <c r="B1838" s="2">
        <v>10841</v>
      </c>
      <c r="C1838" s="2">
        <v>255</v>
      </c>
      <c r="D1838" s="2">
        <v>94</v>
      </c>
      <c r="F1838" s="2">
        <v>2</v>
      </c>
      <c r="G1838" s="2">
        <v>2</v>
      </c>
      <c r="H1838" s="2">
        <v>2</v>
      </c>
      <c r="I1838" s="2">
        <v>0</v>
      </c>
      <c r="J1838" t="str">
        <f>_xlfn.XLOOKUP(Table2[[#This Row],[Customer_ID]],Table1[Customer_ID],Table1[Customer_Name])</f>
        <v>Michelina Manners</v>
      </c>
    </row>
    <row r="1839" spans="1:10" x14ac:dyDescent="0.35">
      <c r="A1839" s="4">
        <v>40959</v>
      </c>
      <c r="B1839" s="2">
        <v>10841</v>
      </c>
      <c r="C1839" s="2">
        <v>233</v>
      </c>
      <c r="D1839" s="2">
        <v>94</v>
      </c>
      <c r="F1839" s="2">
        <v>2</v>
      </c>
      <c r="G1839" s="2">
        <v>3</v>
      </c>
      <c r="H1839" s="2">
        <v>3</v>
      </c>
      <c r="I1839" s="2">
        <v>0</v>
      </c>
      <c r="J1839" t="str">
        <f>_xlfn.XLOOKUP(Table2[[#This Row],[Customer_ID]],Table1[Customer_ID],Table1[Customer_Name])</f>
        <v>Michelina Manners</v>
      </c>
    </row>
    <row r="1840" spans="1:10" x14ac:dyDescent="0.35">
      <c r="A1840" s="4">
        <v>40959</v>
      </c>
      <c r="B1840" s="2">
        <v>10841</v>
      </c>
      <c r="C1840" s="2">
        <v>171</v>
      </c>
      <c r="D1840" s="2">
        <v>94</v>
      </c>
      <c r="F1840" s="2">
        <v>2</v>
      </c>
      <c r="G1840" s="2">
        <v>3</v>
      </c>
      <c r="H1840" s="2">
        <v>227</v>
      </c>
      <c r="I1840" s="2">
        <v>0</v>
      </c>
      <c r="J1840" t="str">
        <f>_xlfn.XLOOKUP(Table2[[#This Row],[Customer_ID]],Table1[Customer_ID],Table1[Customer_Name])</f>
        <v>Michelina Manners</v>
      </c>
    </row>
    <row r="1841" spans="1:10" x14ac:dyDescent="0.35">
      <c r="A1841" s="4">
        <v>40960</v>
      </c>
      <c r="B1841" s="2">
        <v>10845</v>
      </c>
      <c r="C1841" s="2">
        <v>335</v>
      </c>
      <c r="D1841" s="2">
        <v>98</v>
      </c>
      <c r="F1841" s="2">
        <v>2</v>
      </c>
      <c r="G1841" s="2">
        <v>1</v>
      </c>
      <c r="H1841" s="2">
        <v>4</v>
      </c>
      <c r="I1841" s="2">
        <v>0</v>
      </c>
      <c r="J1841" t="str">
        <f>_xlfn.XLOOKUP(Table2[[#This Row],[Customer_ID]],Table1[Customer_ID],Table1[Customer_Name])</f>
        <v>Myesha Mumm</v>
      </c>
    </row>
    <row r="1842" spans="1:10" x14ac:dyDescent="0.35">
      <c r="A1842" s="4">
        <v>40960</v>
      </c>
      <c r="B1842" s="2">
        <v>10843</v>
      </c>
      <c r="C1842" s="2">
        <v>191</v>
      </c>
      <c r="D1842" s="2">
        <v>96</v>
      </c>
      <c r="F1842" s="2">
        <v>2</v>
      </c>
      <c r="G1842" s="2">
        <v>4</v>
      </c>
      <c r="H1842" s="2">
        <v>11</v>
      </c>
      <c r="I1842" s="2">
        <v>0</v>
      </c>
      <c r="J1842" t="str">
        <f>_xlfn.XLOOKUP(Table2[[#This Row],[Customer_ID]],Table1[Customer_ID],Table1[Customer_Name])</f>
        <v>Miss Henslee</v>
      </c>
    </row>
    <row r="1843" spans="1:10" x14ac:dyDescent="0.35">
      <c r="A1843" s="4">
        <v>40960</v>
      </c>
      <c r="B1843" s="2">
        <v>10845</v>
      </c>
      <c r="C1843" s="2">
        <v>257</v>
      </c>
      <c r="D1843" s="2">
        <v>98</v>
      </c>
      <c r="F1843" s="2">
        <v>2</v>
      </c>
      <c r="G1843" s="2">
        <v>3</v>
      </c>
      <c r="H1843" s="2">
        <v>2</v>
      </c>
      <c r="I1843" s="2">
        <v>0</v>
      </c>
      <c r="J1843" t="str">
        <f>_xlfn.XLOOKUP(Table2[[#This Row],[Customer_ID]],Table1[Customer_ID],Table1[Customer_Name])</f>
        <v>Myesha Mumm</v>
      </c>
    </row>
    <row r="1844" spans="1:10" x14ac:dyDescent="0.35">
      <c r="A1844" s="4">
        <v>40960</v>
      </c>
      <c r="B1844" s="2">
        <v>10845</v>
      </c>
      <c r="C1844" s="2">
        <v>337</v>
      </c>
      <c r="D1844" s="2">
        <v>98</v>
      </c>
      <c r="F1844" s="2">
        <v>2</v>
      </c>
      <c r="G1844" s="2">
        <v>4</v>
      </c>
      <c r="H1844" s="2">
        <v>4</v>
      </c>
      <c r="I1844" s="2">
        <v>0</v>
      </c>
      <c r="J1844" t="str">
        <f>_xlfn.XLOOKUP(Table2[[#This Row],[Customer_ID]],Table1[Customer_ID],Table1[Customer_Name])</f>
        <v>Myesha Mumm</v>
      </c>
    </row>
    <row r="1845" spans="1:10" x14ac:dyDescent="0.35">
      <c r="A1845" s="4">
        <v>40960</v>
      </c>
      <c r="B1845" s="2">
        <v>10845</v>
      </c>
      <c r="C1845" s="2">
        <v>338</v>
      </c>
      <c r="D1845" s="2">
        <v>98</v>
      </c>
      <c r="F1845" s="2">
        <v>2</v>
      </c>
      <c r="G1845" s="2">
        <v>8</v>
      </c>
      <c r="H1845" s="2">
        <v>4</v>
      </c>
      <c r="I1845" s="2">
        <v>0</v>
      </c>
      <c r="J1845" t="str">
        <f>_xlfn.XLOOKUP(Table2[[#This Row],[Customer_ID]],Table1[Customer_ID],Table1[Customer_Name])</f>
        <v>Myesha Mumm</v>
      </c>
    </row>
    <row r="1846" spans="1:10" x14ac:dyDescent="0.35">
      <c r="A1846" s="4">
        <v>40960</v>
      </c>
      <c r="B1846" s="2">
        <v>10845</v>
      </c>
      <c r="C1846" s="2">
        <v>228</v>
      </c>
      <c r="D1846" s="2">
        <v>98</v>
      </c>
      <c r="F1846" s="2">
        <v>2</v>
      </c>
      <c r="G1846" s="2">
        <v>4</v>
      </c>
      <c r="H1846" s="2">
        <v>3</v>
      </c>
      <c r="I1846" s="2">
        <v>0</v>
      </c>
      <c r="J1846" t="str">
        <f>_xlfn.XLOOKUP(Table2[[#This Row],[Customer_ID]],Table1[Customer_ID],Table1[Customer_Name])</f>
        <v>Myesha Mumm</v>
      </c>
    </row>
    <row r="1847" spans="1:10" x14ac:dyDescent="0.35">
      <c r="A1847" s="4">
        <v>40961</v>
      </c>
      <c r="B1847" s="2">
        <v>10847</v>
      </c>
      <c r="C1847" s="2">
        <v>130</v>
      </c>
      <c r="D1847" s="2">
        <v>100</v>
      </c>
      <c r="E1847" s="2">
        <v>19</v>
      </c>
      <c r="F1847" s="2">
        <v>2</v>
      </c>
      <c r="G1847" s="2">
        <v>2</v>
      </c>
      <c r="H1847" s="2">
        <v>1181</v>
      </c>
      <c r="I1847" s="2">
        <v>0</v>
      </c>
      <c r="J1847" t="str">
        <f>_xlfn.XLOOKUP(Table2[[#This Row],[Customer_ID]],Table1[Customer_ID],Table1[Customer_Name])</f>
        <v>Natividad Grandberry</v>
      </c>
    </row>
    <row r="1848" spans="1:10" x14ac:dyDescent="0.35">
      <c r="A1848" s="4">
        <v>40961</v>
      </c>
      <c r="B1848" s="2">
        <v>10847</v>
      </c>
      <c r="C1848" s="2">
        <v>128</v>
      </c>
      <c r="D1848" s="2">
        <v>100</v>
      </c>
      <c r="E1848" s="2">
        <v>19</v>
      </c>
      <c r="F1848" s="2">
        <v>2</v>
      </c>
      <c r="G1848" s="2">
        <v>3</v>
      </c>
      <c r="H1848" s="2">
        <v>644</v>
      </c>
      <c r="I1848" s="2">
        <v>0</v>
      </c>
      <c r="J1848" t="str">
        <f>_xlfn.XLOOKUP(Table2[[#This Row],[Customer_ID]],Table1[Customer_ID],Table1[Customer_Name])</f>
        <v>Natividad Grandberry</v>
      </c>
    </row>
    <row r="1849" spans="1:10" x14ac:dyDescent="0.35">
      <c r="A1849" s="4">
        <v>40961</v>
      </c>
      <c r="B1849" s="2">
        <v>10847</v>
      </c>
      <c r="C1849" s="2">
        <v>127</v>
      </c>
      <c r="D1849" s="2">
        <v>100</v>
      </c>
      <c r="E1849" s="2">
        <v>19</v>
      </c>
      <c r="F1849" s="2">
        <v>2</v>
      </c>
      <c r="G1849" s="2">
        <v>1</v>
      </c>
      <c r="H1849" s="2">
        <v>695</v>
      </c>
      <c r="I1849" s="2">
        <v>0</v>
      </c>
      <c r="J1849" t="str">
        <f>_xlfn.XLOOKUP(Table2[[#This Row],[Customer_ID]],Table1[Customer_ID],Table1[Customer_Name])</f>
        <v>Natividad Grandberry</v>
      </c>
    </row>
    <row r="1850" spans="1:10" x14ac:dyDescent="0.35">
      <c r="A1850" s="4">
        <v>40961</v>
      </c>
      <c r="B1850" s="2">
        <v>10847</v>
      </c>
      <c r="C1850" s="2">
        <v>126</v>
      </c>
      <c r="D1850" s="2">
        <v>100</v>
      </c>
      <c r="E1850" s="2">
        <v>19</v>
      </c>
      <c r="F1850" s="2">
        <v>2</v>
      </c>
      <c r="G1850" s="2">
        <v>2</v>
      </c>
      <c r="H1850" s="2">
        <v>450</v>
      </c>
      <c r="I1850" s="2">
        <v>0</v>
      </c>
      <c r="J1850" t="str">
        <f>_xlfn.XLOOKUP(Table2[[#This Row],[Customer_ID]],Table1[Customer_ID],Table1[Customer_Name])</f>
        <v>Natividad Grandberry</v>
      </c>
    </row>
    <row r="1851" spans="1:10" x14ac:dyDescent="0.35">
      <c r="A1851" s="4">
        <v>40961</v>
      </c>
      <c r="B1851" s="2">
        <v>10847</v>
      </c>
      <c r="C1851" s="2">
        <v>131</v>
      </c>
      <c r="D1851" s="2">
        <v>100</v>
      </c>
      <c r="E1851" s="2">
        <v>19</v>
      </c>
      <c r="F1851" s="2">
        <v>2</v>
      </c>
      <c r="G1851" s="2">
        <v>2</v>
      </c>
      <c r="H1851" s="2">
        <v>840</v>
      </c>
      <c r="I1851" s="2">
        <v>0</v>
      </c>
      <c r="J1851" t="str">
        <f>_xlfn.XLOOKUP(Table2[[#This Row],[Customer_ID]],Table1[Customer_ID],Table1[Customer_Name])</f>
        <v>Natividad Grandberry</v>
      </c>
    </row>
    <row r="1852" spans="1:10" x14ac:dyDescent="0.35">
      <c r="A1852" s="4">
        <v>40961</v>
      </c>
      <c r="B1852" s="2">
        <v>10847</v>
      </c>
      <c r="C1852" s="2">
        <v>129</v>
      </c>
      <c r="D1852" s="2">
        <v>100</v>
      </c>
      <c r="E1852" s="2">
        <v>19</v>
      </c>
      <c r="F1852" s="2">
        <v>2</v>
      </c>
      <c r="G1852" s="2">
        <v>1</v>
      </c>
      <c r="H1852" s="2">
        <v>577</v>
      </c>
      <c r="I1852" s="2">
        <v>0</v>
      </c>
      <c r="J1852" t="str">
        <f>_xlfn.XLOOKUP(Table2[[#This Row],[Customer_ID]],Table1[Customer_ID],Table1[Customer_Name])</f>
        <v>Natividad Grandberry</v>
      </c>
    </row>
    <row r="1853" spans="1:10" x14ac:dyDescent="0.35">
      <c r="A1853" s="4">
        <v>40962</v>
      </c>
      <c r="B1853" s="2">
        <v>10849</v>
      </c>
      <c r="C1853" s="2">
        <v>361</v>
      </c>
      <c r="D1853" s="2">
        <v>2</v>
      </c>
      <c r="E1853" s="2">
        <v>20</v>
      </c>
      <c r="F1853" s="2">
        <v>2</v>
      </c>
      <c r="G1853" s="2">
        <v>9</v>
      </c>
      <c r="H1853" s="2">
        <v>123</v>
      </c>
      <c r="I1853" s="2">
        <v>0</v>
      </c>
      <c r="J1853" t="str">
        <f>_xlfn.XLOOKUP(Table2[[#This Row],[Customer_ID]],Table1[Customer_ID],Table1[Customer_Name])</f>
        <v>Alaine Kindig</v>
      </c>
    </row>
    <row r="1854" spans="1:10" x14ac:dyDescent="0.35">
      <c r="A1854" s="4">
        <v>40962</v>
      </c>
      <c r="B1854" s="2">
        <v>10849</v>
      </c>
      <c r="C1854" s="2">
        <v>197</v>
      </c>
      <c r="D1854" s="2">
        <v>2</v>
      </c>
      <c r="E1854" s="2">
        <v>20</v>
      </c>
      <c r="F1854" s="2">
        <v>2</v>
      </c>
      <c r="G1854" s="2">
        <v>3</v>
      </c>
      <c r="H1854" s="2">
        <v>3</v>
      </c>
      <c r="I1854" s="2">
        <v>0</v>
      </c>
      <c r="J1854" t="str">
        <f>_xlfn.XLOOKUP(Table2[[#This Row],[Customer_ID]],Table1[Customer_ID],Table1[Customer_Name])</f>
        <v>Alaine Kindig</v>
      </c>
    </row>
    <row r="1855" spans="1:10" x14ac:dyDescent="0.35">
      <c r="A1855" s="4">
        <v>40965</v>
      </c>
      <c r="B1855" s="2">
        <v>10851</v>
      </c>
      <c r="C1855" s="2">
        <v>230</v>
      </c>
      <c r="D1855" s="2">
        <v>4</v>
      </c>
      <c r="E1855" s="2">
        <v>69</v>
      </c>
      <c r="F1855" s="2">
        <v>2</v>
      </c>
      <c r="G1855" s="2">
        <v>6</v>
      </c>
      <c r="H1855" s="2">
        <v>6</v>
      </c>
      <c r="I1855" s="2">
        <v>0</v>
      </c>
      <c r="J1855" t="str">
        <f>_xlfn.XLOOKUP(Table2[[#This Row],[Customer_ID]],Table1[Customer_ID],Table1[Customer_Name])</f>
        <v>Andreas Armour</v>
      </c>
    </row>
    <row r="1856" spans="1:10" x14ac:dyDescent="0.35">
      <c r="A1856" s="4">
        <v>40965</v>
      </c>
      <c r="B1856" s="2">
        <v>10851</v>
      </c>
      <c r="C1856" s="2">
        <v>383</v>
      </c>
      <c r="D1856" s="2">
        <v>4</v>
      </c>
      <c r="E1856" s="2">
        <v>69</v>
      </c>
      <c r="F1856" s="2">
        <v>2</v>
      </c>
      <c r="G1856" s="2">
        <v>2</v>
      </c>
      <c r="H1856" s="2">
        <v>9</v>
      </c>
      <c r="I1856" s="2">
        <v>0</v>
      </c>
      <c r="J1856" t="str">
        <f>_xlfn.XLOOKUP(Table2[[#This Row],[Customer_ID]],Table1[Customer_ID],Table1[Customer_Name])</f>
        <v>Andreas Armour</v>
      </c>
    </row>
    <row r="1857" spans="1:10" x14ac:dyDescent="0.35">
      <c r="A1857" s="4">
        <v>40965</v>
      </c>
      <c r="B1857" s="2">
        <v>10851</v>
      </c>
      <c r="C1857" s="2">
        <v>382</v>
      </c>
      <c r="D1857" s="2">
        <v>4</v>
      </c>
      <c r="E1857" s="2">
        <v>69</v>
      </c>
      <c r="F1857" s="2">
        <v>2</v>
      </c>
      <c r="G1857" s="2">
        <v>9</v>
      </c>
      <c r="H1857" s="2">
        <v>5</v>
      </c>
      <c r="I1857" s="2">
        <v>0</v>
      </c>
      <c r="J1857" t="str">
        <f>_xlfn.XLOOKUP(Table2[[#This Row],[Customer_ID]],Table1[Customer_ID],Table1[Customer_Name])</f>
        <v>Andreas Armour</v>
      </c>
    </row>
    <row r="1858" spans="1:10" x14ac:dyDescent="0.35">
      <c r="A1858" s="4">
        <v>40965</v>
      </c>
      <c r="B1858" s="2">
        <v>10851</v>
      </c>
      <c r="C1858" s="2">
        <v>373</v>
      </c>
      <c r="D1858" s="2">
        <v>4</v>
      </c>
      <c r="E1858" s="2">
        <v>69</v>
      </c>
      <c r="F1858" s="2">
        <v>2</v>
      </c>
      <c r="G1858" s="2">
        <v>2</v>
      </c>
      <c r="H1858" s="2">
        <v>6</v>
      </c>
      <c r="I1858" s="2">
        <v>0</v>
      </c>
      <c r="J1858" t="str">
        <f>_xlfn.XLOOKUP(Table2[[#This Row],[Customer_ID]],Table1[Customer_ID],Table1[Customer_Name])</f>
        <v>Andreas Armour</v>
      </c>
    </row>
    <row r="1859" spans="1:10" x14ac:dyDescent="0.35">
      <c r="A1859" s="4">
        <v>40966</v>
      </c>
      <c r="B1859" s="2">
        <v>10855</v>
      </c>
      <c r="C1859" s="2">
        <v>356</v>
      </c>
      <c r="D1859" s="2">
        <v>8</v>
      </c>
      <c r="E1859" s="2">
        <v>60</v>
      </c>
      <c r="F1859" s="2">
        <v>2</v>
      </c>
      <c r="G1859" s="2">
        <v>2</v>
      </c>
      <c r="H1859" s="2">
        <v>12</v>
      </c>
      <c r="I1859" s="2">
        <v>0</v>
      </c>
      <c r="J1859" t="str">
        <f>_xlfn.XLOOKUP(Table2[[#This Row],[Customer_ID]],Table1[Customer_ID],Table1[Customer_Name])</f>
        <v>Ashley Ables</v>
      </c>
    </row>
    <row r="1860" spans="1:10" x14ac:dyDescent="0.35">
      <c r="A1860" s="4">
        <v>40966</v>
      </c>
      <c r="B1860" s="2">
        <v>10855</v>
      </c>
      <c r="C1860" s="2">
        <v>376</v>
      </c>
      <c r="D1860" s="2">
        <v>8</v>
      </c>
      <c r="E1860" s="2">
        <v>60</v>
      </c>
      <c r="F1860" s="2">
        <v>2</v>
      </c>
      <c r="G1860" s="2">
        <v>3</v>
      </c>
      <c r="H1860" s="2">
        <v>4</v>
      </c>
      <c r="I1860" s="2">
        <v>0</v>
      </c>
      <c r="J1860" t="str">
        <f>_xlfn.XLOOKUP(Table2[[#This Row],[Customer_ID]],Table1[Customer_ID],Table1[Customer_Name])</f>
        <v>Ashley Ables</v>
      </c>
    </row>
    <row r="1861" spans="1:10" x14ac:dyDescent="0.35">
      <c r="A1861" s="4">
        <v>40966</v>
      </c>
      <c r="B1861" s="2">
        <v>10855</v>
      </c>
      <c r="C1861" s="2">
        <v>380</v>
      </c>
      <c r="D1861" s="2">
        <v>8</v>
      </c>
      <c r="E1861" s="2">
        <v>60</v>
      </c>
      <c r="F1861" s="2">
        <v>2</v>
      </c>
      <c r="G1861" s="2">
        <v>8</v>
      </c>
      <c r="H1861" s="2">
        <v>9</v>
      </c>
      <c r="I1861" s="2">
        <v>0</v>
      </c>
      <c r="J1861" t="str">
        <f>_xlfn.XLOOKUP(Table2[[#This Row],[Customer_ID]],Table1[Customer_ID],Table1[Customer_Name])</f>
        <v>Ashley Ables</v>
      </c>
    </row>
    <row r="1862" spans="1:10" x14ac:dyDescent="0.35">
      <c r="A1862" s="4">
        <v>40966</v>
      </c>
      <c r="B1862" s="2">
        <v>10855</v>
      </c>
      <c r="C1862" s="2">
        <v>196</v>
      </c>
      <c r="D1862" s="2">
        <v>8</v>
      </c>
      <c r="E1862" s="2">
        <v>60</v>
      </c>
      <c r="F1862" s="2">
        <v>2</v>
      </c>
      <c r="G1862" s="2">
        <v>1</v>
      </c>
      <c r="H1862" s="2">
        <v>5</v>
      </c>
      <c r="I1862" s="2">
        <v>0</v>
      </c>
      <c r="J1862" t="str">
        <f>_xlfn.XLOOKUP(Table2[[#This Row],[Customer_ID]],Table1[Customer_ID],Table1[Customer_Name])</f>
        <v>Ashley Ables</v>
      </c>
    </row>
    <row r="1863" spans="1:10" x14ac:dyDescent="0.35">
      <c r="A1863" s="4">
        <v>40966</v>
      </c>
      <c r="B1863" s="2">
        <v>10853</v>
      </c>
      <c r="C1863" s="2">
        <v>378</v>
      </c>
      <c r="D1863" s="2">
        <v>6</v>
      </c>
      <c r="E1863" s="2">
        <v>53</v>
      </c>
      <c r="F1863" s="2">
        <v>2</v>
      </c>
      <c r="G1863" s="2">
        <v>1</v>
      </c>
      <c r="H1863" s="2">
        <v>3</v>
      </c>
      <c r="I1863" s="2">
        <v>0</v>
      </c>
      <c r="J1863" t="str">
        <f>_xlfn.XLOOKUP(Table2[[#This Row],[Customer_ID]],Table1[Customer_ID],Table1[Customer_Name])</f>
        <v>Anjelica Usrey</v>
      </c>
    </row>
    <row r="1864" spans="1:10" x14ac:dyDescent="0.35">
      <c r="A1864" s="4">
        <v>40967</v>
      </c>
      <c r="B1864" s="2">
        <v>10857</v>
      </c>
      <c r="C1864" s="2">
        <v>267</v>
      </c>
      <c r="D1864" s="2">
        <v>10</v>
      </c>
      <c r="E1864" s="2">
        <v>20</v>
      </c>
      <c r="F1864" s="2">
        <v>2</v>
      </c>
      <c r="G1864" s="2">
        <v>7</v>
      </c>
      <c r="H1864" s="2">
        <v>3</v>
      </c>
      <c r="I1864" s="2">
        <v>0</v>
      </c>
      <c r="J1864" t="str">
        <f>_xlfn.XLOOKUP(Table2[[#This Row],[Customer_ID]],Table1[Customer_ID],Table1[Customer_Name])</f>
        <v>Berniece Blakely</v>
      </c>
    </row>
    <row r="1865" spans="1:10" x14ac:dyDescent="0.35">
      <c r="A1865" s="4">
        <v>40967</v>
      </c>
      <c r="B1865" s="2">
        <v>10857</v>
      </c>
      <c r="C1865" s="2">
        <v>273</v>
      </c>
      <c r="D1865" s="2">
        <v>10</v>
      </c>
      <c r="E1865" s="2">
        <v>20</v>
      </c>
      <c r="F1865" s="2">
        <v>2</v>
      </c>
      <c r="G1865" s="2">
        <v>5</v>
      </c>
      <c r="H1865" s="2">
        <v>3</v>
      </c>
      <c r="I1865" s="2">
        <v>0</v>
      </c>
      <c r="J1865" t="str">
        <f>_xlfn.XLOOKUP(Table2[[#This Row],[Customer_ID]],Table1[Customer_ID],Table1[Customer_Name])</f>
        <v>Berniece Blakely</v>
      </c>
    </row>
    <row r="1866" spans="1:10" x14ac:dyDescent="0.35">
      <c r="A1866" s="4">
        <v>40967</v>
      </c>
      <c r="B1866" s="2">
        <v>10857</v>
      </c>
      <c r="C1866" s="2">
        <v>264</v>
      </c>
      <c r="D1866" s="2">
        <v>10</v>
      </c>
      <c r="E1866" s="2">
        <v>20</v>
      </c>
      <c r="F1866" s="2">
        <v>2</v>
      </c>
      <c r="G1866" s="2">
        <v>5</v>
      </c>
      <c r="H1866" s="2">
        <v>6</v>
      </c>
      <c r="I1866" s="2">
        <v>0</v>
      </c>
      <c r="J1866" t="str">
        <f>_xlfn.XLOOKUP(Table2[[#This Row],[Customer_ID]],Table1[Customer_ID],Table1[Customer_Name])</f>
        <v>Berniece Blakely</v>
      </c>
    </row>
    <row r="1867" spans="1:10" x14ac:dyDescent="0.35">
      <c r="A1867" s="4">
        <v>40968</v>
      </c>
      <c r="B1867" s="2">
        <v>10859</v>
      </c>
      <c r="C1867" s="2">
        <v>422</v>
      </c>
      <c r="D1867" s="2">
        <v>12</v>
      </c>
      <c r="E1867" s="2">
        <v>63</v>
      </c>
      <c r="F1867" s="2">
        <v>2</v>
      </c>
      <c r="G1867" s="2">
        <v>1</v>
      </c>
      <c r="H1867" s="2">
        <v>7</v>
      </c>
      <c r="I1867" s="2">
        <v>0</v>
      </c>
      <c r="J1867" t="str">
        <f>_xlfn.XLOOKUP(Table2[[#This Row],[Customer_ID]],Table1[Customer_ID],Table1[Customer_Name])</f>
        <v>Brittney Edmond</v>
      </c>
    </row>
    <row r="1868" spans="1:10" x14ac:dyDescent="0.35">
      <c r="A1868" s="4">
        <v>40968</v>
      </c>
      <c r="B1868" s="2">
        <v>10859</v>
      </c>
      <c r="C1868" s="2">
        <v>309</v>
      </c>
      <c r="D1868" s="2">
        <v>12</v>
      </c>
      <c r="E1868" s="2">
        <v>63</v>
      </c>
      <c r="F1868" s="2">
        <v>2</v>
      </c>
      <c r="G1868" s="2">
        <v>8</v>
      </c>
      <c r="H1868" s="2">
        <v>39</v>
      </c>
      <c r="I1868" s="2">
        <v>0</v>
      </c>
      <c r="J1868" t="str">
        <f>_xlfn.XLOOKUP(Table2[[#This Row],[Customer_ID]],Table1[Customer_ID],Table1[Customer_Name])</f>
        <v>Brittney Edmond</v>
      </c>
    </row>
    <row r="1869" spans="1:10" x14ac:dyDescent="0.35">
      <c r="A1869" s="4">
        <v>40968</v>
      </c>
      <c r="B1869" s="2">
        <v>10859</v>
      </c>
      <c r="C1869" s="2">
        <v>310</v>
      </c>
      <c r="D1869" s="2">
        <v>12</v>
      </c>
      <c r="E1869" s="2">
        <v>63</v>
      </c>
      <c r="F1869" s="2">
        <v>2</v>
      </c>
      <c r="G1869" s="2">
        <v>1</v>
      </c>
      <c r="H1869" s="2">
        <v>39</v>
      </c>
      <c r="I1869" s="2">
        <v>0</v>
      </c>
      <c r="J1869" t="str">
        <f>_xlfn.XLOOKUP(Table2[[#This Row],[Customer_ID]],Table1[Customer_ID],Table1[Customer_Name])</f>
        <v>Brittney Edmond</v>
      </c>
    </row>
    <row r="1870" spans="1:10" x14ac:dyDescent="0.35">
      <c r="A1870" s="4">
        <v>40969</v>
      </c>
      <c r="B1870" s="2">
        <v>10861</v>
      </c>
      <c r="C1870" s="2">
        <v>406</v>
      </c>
      <c r="D1870" s="2">
        <v>14</v>
      </c>
      <c r="E1870" s="2">
        <v>33</v>
      </c>
      <c r="F1870" s="2">
        <v>2</v>
      </c>
      <c r="G1870" s="2">
        <v>4</v>
      </c>
      <c r="H1870" s="2">
        <v>20</v>
      </c>
      <c r="I1870" s="2">
        <v>0</v>
      </c>
      <c r="J1870" t="str">
        <f>_xlfn.XLOOKUP(Table2[[#This Row],[Customer_ID]],Table1[Customer_ID],Table1[Customer_Name])</f>
        <v>Cari Craw</v>
      </c>
    </row>
    <row r="1871" spans="1:10" x14ac:dyDescent="0.35">
      <c r="A1871" s="4">
        <v>40969</v>
      </c>
      <c r="B1871" s="2">
        <v>10861</v>
      </c>
      <c r="C1871" s="2">
        <v>272</v>
      </c>
      <c r="D1871" s="2">
        <v>14</v>
      </c>
      <c r="E1871" s="2">
        <v>33</v>
      </c>
      <c r="F1871" s="2">
        <v>2</v>
      </c>
      <c r="G1871" s="2">
        <v>9</v>
      </c>
      <c r="H1871" s="2">
        <v>2</v>
      </c>
      <c r="I1871" s="2">
        <v>0</v>
      </c>
      <c r="J1871" t="str">
        <f>_xlfn.XLOOKUP(Table2[[#This Row],[Customer_ID]],Table1[Customer_ID],Table1[Customer_Name])</f>
        <v>Cari Craw</v>
      </c>
    </row>
    <row r="1872" spans="1:10" x14ac:dyDescent="0.35">
      <c r="A1872" s="4">
        <v>40969</v>
      </c>
      <c r="B1872" s="2">
        <v>10861</v>
      </c>
      <c r="C1872" s="2">
        <v>407</v>
      </c>
      <c r="D1872" s="2">
        <v>14</v>
      </c>
      <c r="E1872" s="2">
        <v>33</v>
      </c>
      <c r="F1872" s="2">
        <v>2</v>
      </c>
      <c r="G1872" s="2">
        <v>3</v>
      </c>
      <c r="H1872" s="2">
        <v>16</v>
      </c>
      <c r="I1872" s="2">
        <v>0</v>
      </c>
      <c r="J1872" t="str">
        <f>_xlfn.XLOOKUP(Table2[[#This Row],[Customer_ID]],Table1[Customer_ID],Table1[Customer_Name])</f>
        <v>Cari Craw</v>
      </c>
    </row>
    <row r="1873" spans="1:10" x14ac:dyDescent="0.35">
      <c r="A1873" s="4">
        <v>40969</v>
      </c>
      <c r="B1873" s="2">
        <v>10861</v>
      </c>
      <c r="C1873" s="2">
        <v>217</v>
      </c>
      <c r="D1873" s="2">
        <v>14</v>
      </c>
      <c r="E1873" s="2">
        <v>33</v>
      </c>
      <c r="F1873" s="2">
        <v>2</v>
      </c>
      <c r="G1873" s="2">
        <v>7</v>
      </c>
      <c r="H1873" s="2">
        <v>4</v>
      </c>
      <c r="I1873" s="2">
        <v>0</v>
      </c>
      <c r="J1873" t="str">
        <f>_xlfn.XLOOKUP(Table2[[#This Row],[Customer_ID]],Table1[Customer_ID],Table1[Customer_Name])</f>
        <v>Cari Craw</v>
      </c>
    </row>
    <row r="1874" spans="1:10" x14ac:dyDescent="0.35">
      <c r="A1874" s="4">
        <v>40969</v>
      </c>
      <c r="B1874" s="2">
        <v>10861</v>
      </c>
      <c r="C1874" s="2">
        <v>223</v>
      </c>
      <c r="D1874" s="2">
        <v>14</v>
      </c>
      <c r="E1874" s="2">
        <v>33</v>
      </c>
      <c r="F1874" s="2">
        <v>2</v>
      </c>
      <c r="G1874" s="2">
        <v>4</v>
      </c>
      <c r="H1874" s="2">
        <v>4</v>
      </c>
      <c r="I1874" s="2">
        <v>0</v>
      </c>
      <c r="J1874" t="str">
        <f>_xlfn.XLOOKUP(Table2[[#This Row],[Customer_ID]],Table1[Customer_ID],Table1[Customer_Name])</f>
        <v>Cari Craw</v>
      </c>
    </row>
    <row r="1875" spans="1:10" x14ac:dyDescent="0.35">
      <c r="A1875" s="4">
        <v>40972</v>
      </c>
      <c r="B1875" s="2">
        <v>10865</v>
      </c>
      <c r="C1875" s="2">
        <v>282</v>
      </c>
      <c r="D1875" s="2">
        <v>18</v>
      </c>
      <c r="E1875" s="2">
        <v>40</v>
      </c>
      <c r="F1875" s="2">
        <v>2</v>
      </c>
      <c r="G1875" s="2">
        <v>1</v>
      </c>
      <c r="H1875" s="2">
        <v>3</v>
      </c>
      <c r="I1875" s="2">
        <v>0</v>
      </c>
      <c r="J1875" t="str">
        <f>_xlfn.XLOOKUP(Table2[[#This Row],[Customer_ID]],Table1[Customer_ID],Table1[Customer_Name])</f>
        <v>Cecilia Crossman</v>
      </c>
    </row>
    <row r="1876" spans="1:10" x14ac:dyDescent="0.35">
      <c r="A1876" s="4">
        <v>40972</v>
      </c>
      <c r="B1876" s="2">
        <v>10863</v>
      </c>
      <c r="C1876" s="2">
        <v>246</v>
      </c>
      <c r="D1876" s="2">
        <v>16</v>
      </c>
      <c r="E1876" s="2">
        <v>37</v>
      </c>
      <c r="F1876" s="2">
        <v>2</v>
      </c>
      <c r="G1876" s="2">
        <v>1</v>
      </c>
      <c r="H1876" s="2">
        <v>3</v>
      </c>
      <c r="I1876" s="2">
        <v>0</v>
      </c>
      <c r="J1876" t="str">
        <f>_xlfn.XLOOKUP(Table2[[#This Row],[Customer_ID]],Table1[Customer_ID],Table1[Customer_Name])</f>
        <v>Casandra Flewelling</v>
      </c>
    </row>
    <row r="1877" spans="1:10" x14ac:dyDescent="0.35">
      <c r="A1877" s="4">
        <v>40972</v>
      </c>
      <c r="B1877" s="2">
        <v>10863</v>
      </c>
      <c r="C1877" s="2">
        <v>237</v>
      </c>
      <c r="D1877" s="2">
        <v>16</v>
      </c>
      <c r="E1877" s="2">
        <v>37</v>
      </c>
      <c r="F1877" s="2">
        <v>2</v>
      </c>
      <c r="G1877" s="2">
        <v>1</v>
      </c>
      <c r="H1877" s="2">
        <v>18</v>
      </c>
      <c r="I1877" s="2">
        <v>0</v>
      </c>
      <c r="J1877" t="str">
        <f>_xlfn.XLOOKUP(Table2[[#This Row],[Customer_ID]],Table1[Customer_ID],Table1[Customer_Name])</f>
        <v>Casandra Flewelling</v>
      </c>
    </row>
    <row r="1878" spans="1:10" x14ac:dyDescent="0.35">
      <c r="A1878" s="4">
        <v>40972</v>
      </c>
      <c r="B1878" s="2">
        <v>10865</v>
      </c>
      <c r="C1878" s="2">
        <v>279</v>
      </c>
      <c r="D1878" s="2">
        <v>18</v>
      </c>
      <c r="E1878" s="2">
        <v>40</v>
      </c>
      <c r="F1878" s="2">
        <v>2</v>
      </c>
      <c r="G1878" s="2">
        <v>2</v>
      </c>
      <c r="H1878" s="2">
        <v>4</v>
      </c>
      <c r="I1878" s="2">
        <v>0</v>
      </c>
      <c r="J1878" t="str">
        <f>_xlfn.XLOOKUP(Table2[[#This Row],[Customer_ID]],Table1[Customer_ID],Table1[Customer_Name])</f>
        <v>Cecilia Crossman</v>
      </c>
    </row>
    <row r="1879" spans="1:10" x14ac:dyDescent="0.35">
      <c r="A1879" s="4">
        <v>40973</v>
      </c>
      <c r="B1879" s="2">
        <v>10867</v>
      </c>
      <c r="C1879" s="2">
        <v>203</v>
      </c>
      <c r="D1879" s="2">
        <v>20</v>
      </c>
      <c r="E1879" s="2">
        <v>43</v>
      </c>
      <c r="F1879" s="2">
        <v>2</v>
      </c>
      <c r="G1879" s="2">
        <v>1</v>
      </c>
      <c r="H1879" s="2">
        <v>5</v>
      </c>
      <c r="I1879" s="2">
        <v>0</v>
      </c>
      <c r="J1879" t="str">
        <f>_xlfn.XLOOKUP(Table2[[#This Row],[Customer_ID]],Table1[Customer_ID],Table1[Customer_Name])</f>
        <v>Chelsey Powers</v>
      </c>
    </row>
    <row r="1880" spans="1:10" x14ac:dyDescent="0.35">
      <c r="A1880" s="4">
        <v>40974</v>
      </c>
      <c r="B1880" s="2">
        <v>10869</v>
      </c>
      <c r="C1880" s="2">
        <v>152</v>
      </c>
      <c r="D1880" s="2">
        <v>22</v>
      </c>
      <c r="E1880" s="2">
        <v>49</v>
      </c>
      <c r="F1880" s="2">
        <v>2</v>
      </c>
      <c r="G1880" s="2">
        <v>3</v>
      </c>
      <c r="H1880" s="2">
        <v>517</v>
      </c>
      <c r="I1880" s="2">
        <v>0</v>
      </c>
      <c r="J1880" t="str">
        <f>_xlfn.XLOOKUP(Table2[[#This Row],[Customer_ID]],Table1[Customer_ID],Table1[Customer_Name])</f>
        <v>Colleen Coplin</v>
      </c>
    </row>
    <row r="1881" spans="1:10" x14ac:dyDescent="0.35">
      <c r="A1881" s="4">
        <v>40974</v>
      </c>
      <c r="B1881" s="2">
        <v>10869</v>
      </c>
      <c r="C1881" s="2">
        <v>150</v>
      </c>
      <c r="D1881" s="2">
        <v>22</v>
      </c>
      <c r="E1881" s="2">
        <v>49</v>
      </c>
      <c r="F1881" s="2">
        <v>2</v>
      </c>
      <c r="G1881" s="2">
        <v>2</v>
      </c>
      <c r="H1881" s="2">
        <v>534</v>
      </c>
      <c r="I1881" s="2">
        <v>0</v>
      </c>
      <c r="J1881" t="str">
        <f>_xlfn.XLOOKUP(Table2[[#This Row],[Customer_ID]],Table1[Customer_ID],Table1[Customer_Name])</f>
        <v>Colleen Coplin</v>
      </c>
    </row>
    <row r="1882" spans="1:10" x14ac:dyDescent="0.35">
      <c r="A1882" s="4">
        <v>40974</v>
      </c>
      <c r="B1882" s="2">
        <v>10869</v>
      </c>
      <c r="C1882" s="2">
        <v>149</v>
      </c>
      <c r="D1882" s="2">
        <v>22</v>
      </c>
      <c r="E1882" s="2">
        <v>49</v>
      </c>
      <c r="F1882" s="2">
        <v>2</v>
      </c>
      <c r="G1882" s="2">
        <v>2</v>
      </c>
      <c r="H1882" s="2">
        <v>717</v>
      </c>
      <c r="I1882" s="2">
        <v>0</v>
      </c>
      <c r="J1882" t="str">
        <f>_xlfn.XLOOKUP(Table2[[#This Row],[Customer_ID]],Table1[Customer_ID],Table1[Customer_Name])</f>
        <v>Colleen Coplin</v>
      </c>
    </row>
    <row r="1883" spans="1:10" x14ac:dyDescent="0.35">
      <c r="A1883" s="4">
        <v>40974</v>
      </c>
      <c r="B1883" s="2">
        <v>10869</v>
      </c>
      <c r="C1883" s="2">
        <v>161</v>
      </c>
      <c r="D1883" s="2">
        <v>22</v>
      </c>
      <c r="E1883" s="2">
        <v>49</v>
      </c>
      <c r="F1883" s="2">
        <v>2</v>
      </c>
      <c r="G1883" s="2">
        <v>1</v>
      </c>
      <c r="H1883" s="2">
        <v>5759</v>
      </c>
      <c r="I1883" s="2">
        <v>0</v>
      </c>
      <c r="J1883" t="str">
        <f>_xlfn.XLOOKUP(Table2[[#This Row],[Customer_ID]],Table1[Customer_ID],Table1[Customer_Name])</f>
        <v>Colleen Coplin</v>
      </c>
    </row>
    <row r="1884" spans="1:10" x14ac:dyDescent="0.35">
      <c r="A1884" s="4">
        <v>40975</v>
      </c>
      <c r="B1884" s="2">
        <v>10871</v>
      </c>
      <c r="C1884" s="2">
        <v>155</v>
      </c>
      <c r="D1884" s="2">
        <v>24</v>
      </c>
      <c r="E1884" s="2">
        <v>59</v>
      </c>
      <c r="F1884" s="2">
        <v>2</v>
      </c>
      <c r="G1884" s="2">
        <v>8</v>
      </c>
      <c r="H1884" s="2">
        <v>852</v>
      </c>
      <c r="I1884" s="2">
        <v>0</v>
      </c>
      <c r="J1884" t="str">
        <f>_xlfn.XLOOKUP(Table2[[#This Row],[Customer_ID]],Table1[Customer_ID],Table1[Customer_Name])</f>
        <v>Corrinne Cataldo</v>
      </c>
    </row>
    <row r="1885" spans="1:10" x14ac:dyDescent="0.35">
      <c r="A1885" s="4">
        <v>40975</v>
      </c>
      <c r="B1885" s="2">
        <v>10871</v>
      </c>
      <c r="C1885" s="2">
        <v>158</v>
      </c>
      <c r="D1885" s="2">
        <v>24</v>
      </c>
      <c r="E1885" s="2">
        <v>59</v>
      </c>
      <c r="F1885" s="2">
        <v>2</v>
      </c>
      <c r="G1885" s="2">
        <v>1</v>
      </c>
      <c r="H1885" s="2">
        <v>2595</v>
      </c>
      <c r="I1885" s="2">
        <v>0</v>
      </c>
      <c r="J1885" t="str">
        <f>_xlfn.XLOOKUP(Table2[[#This Row],[Customer_ID]],Table1[Customer_ID],Table1[Customer_Name])</f>
        <v>Corrinne Cataldo</v>
      </c>
    </row>
    <row r="1886" spans="1:10" x14ac:dyDescent="0.35">
      <c r="A1886" s="4">
        <v>40975</v>
      </c>
      <c r="B1886" s="2">
        <v>10871</v>
      </c>
      <c r="C1886" s="2">
        <v>439</v>
      </c>
      <c r="D1886" s="2">
        <v>24</v>
      </c>
      <c r="E1886" s="2">
        <v>59</v>
      </c>
      <c r="F1886" s="2">
        <v>2</v>
      </c>
      <c r="G1886" s="2">
        <v>3</v>
      </c>
      <c r="H1886" s="2">
        <v>10</v>
      </c>
      <c r="I1886" s="2">
        <v>0</v>
      </c>
      <c r="J1886" t="str">
        <f>_xlfn.XLOOKUP(Table2[[#This Row],[Customer_ID]],Table1[Customer_ID],Table1[Customer_Name])</f>
        <v>Corrinne Cataldo</v>
      </c>
    </row>
    <row r="1887" spans="1:10" x14ac:dyDescent="0.35">
      <c r="A1887" s="4">
        <v>40976</v>
      </c>
      <c r="B1887" s="2">
        <v>10875</v>
      </c>
      <c r="C1887" s="2">
        <v>32</v>
      </c>
      <c r="D1887" s="2">
        <v>28</v>
      </c>
      <c r="E1887" s="2">
        <v>26</v>
      </c>
      <c r="F1887" s="2">
        <v>2</v>
      </c>
      <c r="G1887" s="2">
        <v>6</v>
      </c>
      <c r="H1887" s="2">
        <v>5</v>
      </c>
      <c r="I1887" s="2">
        <v>0</v>
      </c>
      <c r="J1887" t="str">
        <f>_xlfn.XLOOKUP(Table2[[#This Row],[Customer_ID]],Table1[Customer_ID],Table1[Customer_Name])</f>
        <v>Delena Hulin</v>
      </c>
    </row>
    <row r="1888" spans="1:10" x14ac:dyDescent="0.35">
      <c r="A1888" s="4">
        <v>40976</v>
      </c>
      <c r="B1888" s="2">
        <v>10875</v>
      </c>
      <c r="C1888" s="2">
        <v>14</v>
      </c>
      <c r="D1888" s="2">
        <v>28</v>
      </c>
      <c r="E1888" s="2">
        <v>26</v>
      </c>
      <c r="F1888" s="2">
        <v>2</v>
      </c>
      <c r="G1888" s="2">
        <v>5</v>
      </c>
      <c r="H1888" s="2">
        <v>482</v>
      </c>
      <c r="I1888" s="2">
        <v>0</v>
      </c>
      <c r="J1888" t="str">
        <f>_xlfn.XLOOKUP(Table2[[#This Row],[Customer_ID]],Table1[Customer_ID],Table1[Customer_Name])</f>
        <v>Delena Hulin</v>
      </c>
    </row>
    <row r="1889" spans="1:10" x14ac:dyDescent="0.35">
      <c r="A1889" s="4">
        <v>40976</v>
      </c>
      <c r="B1889" s="2">
        <v>10873</v>
      </c>
      <c r="C1889" s="2">
        <v>53</v>
      </c>
      <c r="D1889" s="2">
        <v>26</v>
      </c>
      <c r="E1889" s="2">
        <v>94</v>
      </c>
      <c r="F1889" s="2">
        <v>2</v>
      </c>
      <c r="G1889" s="2">
        <v>3</v>
      </c>
      <c r="H1889" s="2">
        <v>19</v>
      </c>
      <c r="I1889" s="2">
        <v>0</v>
      </c>
      <c r="J1889" t="str">
        <f>_xlfn.XLOOKUP(Table2[[#This Row],[Customer_ID]],Table1[Customer_ID],Table1[Customer_Name])</f>
        <v>Cyndy Collie</v>
      </c>
    </row>
    <row r="1890" spans="1:10" x14ac:dyDescent="0.35">
      <c r="A1890" s="4">
        <v>40976</v>
      </c>
      <c r="B1890" s="2">
        <v>10875</v>
      </c>
      <c r="C1890" s="2">
        <v>18</v>
      </c>
      <c r="D1890" s="2">
        <v>28</v>
      </c>
      <c r="E1890" s="2">
        <v>26</v>
      </c>
      <c r="F1890" s="2">
        <v>2</v>
      </c>
      <c r="G1890" s="2">
        <v>1</v>
      </c>
      <c r="H1890" s="2">
        <v>154</v>
      </c>
      <c r="I1890" s="2">
        <v>0</v>
      </c>
      <c r="J1890" t="str">
        <f>_xlfn.XLOOKUP(Table2[[#This Row],[Customer_ID]],Table1[Customer_ID],Table1[Customer_Name])</f>
        <v>Delena Hulin</v>
      </c>
    </row>
    <row r="1891" spans="1:10" x14ac:dyDescent="0.35">
      <c r="A1891" s="4">
        <v>40976</v>
      </c>
      <c r="B1891" s="2">
        <v>10873</v>
      </c>
      <c r="C1891" s="2">
        <v>57</v>
      </c>
      <c r="D1891" s="2">
        <v>26</v>
      </c>
      <c r="E1891" s="2">
        <v>94</v>
      </c>
      <c r="F1891" s="2">
        <v>2</v>
      </c>
      <c r="G1891" s="2">
        <v>1</v>
      </c>
      <c r="H1891" s="2">
        <v>4</v>
      </c>
      <c r="I1891" s="2">
        <v>0</v>
      </c>
      <c r="J1891" t="str">
        <f>_xlfn.XLOOKUP(Table2[[#This Row],[Customer_ID]],Table1[Customer_ID],Table1[Customer_Name])</f>
        <v>Cyndy Collie</v>
      </c>
    </row>
    <row r="1892" spans="1:10" x14ac:dyDescent="0.35">
      <c r="A1892" s="4">
        <v>40979</v>
      </c>
      <c r="B1892" s="2">
        <v>10877</v>
      </c>
      <c r="C1892" s="2">
        <v>48</v>
      </c>
      <c r="D1892" s="2">
        <v>30</v>
      </c>
      <c r="E1892" s="2">
        <v>34</v>
      </c>
      <c r="F1892" s="2">
        <v>2</v>
      </c>
      <c r="G1892" s="2">
        <v>6</v>
      </c>
      <c r="H1892" s="2">
        <v>3</v>
      </c>
      <c r="I1892" s="2">
        <v>0</v>
      </c>
      <c r="J1892" t="str">
        <f>_xlfn.XLOOKUP(Table2[[#This Row],[Customer_ID]],Table1[Customer_ID],Table1[Customer_Name])</f>
        <v>Dinah Trusty</v>
      </c>
    </row>
    <row r="1893" spans="1:10" x14ac:dyDescent="0.35">
      <c r="A1893" s="4">
        <v>40979</v>
      </c>
      <c r="B1893" s="2">
        <v>10877</v>
      </c>
      <c r="C1893" s="2">
        <v>17</v>
      </c>
      <c r="D1893" s="2">
        <v>30</v>
      </c>
      <c r="E1893" s="2">
        <v>34</v>
      </c>
      <c r="F1893" s="2">
        <v>2</v>
      </c>
      <c r="G1893" s="2">
        <v>2</v>
      </c>
      <c r="H1893" s="2">
        <v>294</v>
      </c>
      <c r="I1893" s="2">
        <v>0</v>
      </c>
      <c r="J1893" t="str">
        <f>_xlfn.XLOOKUP(Table2[[#This Row],[Customer_ID]],Table1[Customer_ID],Table1[Customer_Name])</f>
        <v>Dinah Trusty</v>
      </c>
    </row>
    <row r="1894" spans="1:10" x14ac:dyDescent="0.35">
      <c r="A1894" s="4">
        <v>40980</v>
      </c>
      <c r="B1894" s="2">
        <v>10879</v>
      </c>
      <c r="C1894" s="2">
        <v>218</v>
      </c>
      <c r="D1894" s="2">
        <v>32</v>
      </c>
      <c r="E1894" s="2">
        <v>35</v>
      </c>
      <c r="F1894" s="2">
        <v>2</v>
      </c>
      <c r="G1894" s="2">
        <v>3</v>
      </c>
      <c r="H1894" s="2">
        <v>5</v>
      </c>
      <c r="I1894" s="2">
        <v>0</v>
      </c>
      <c r="J1894" t="str">
        <f>_xlfn.XLOOKUP(Table2[[#This Row],[Customer_ID]],Table1[Customer_ID],Table1[Customer_Name])</f>
        <v>Doretha Mcmunn</v>
      </c>
    </row>
    <row r="1895" spans="1:10" x14ac:dyDescent="0.35">
      <c r="A1895" s="4">
        <v>40980</v>
      </c>
      <c r="B1895" s="2">
        <v>10879</v>
      </c>
      <c r="C1895" s="2">
        <v>15</v>
      </c>
      <c r="D1895" s="2">
        <v>32</v>
      </c>
      <c r="E1895" s="2">
        <v>35</v>
      </c>
      <c r="F1895" s="2">
        <v>2</v>
      </c>
      <c r="G1895" s="2">
        <v>1</v>
      </c>
      <c r="H1895" s="2">
        <v>428</v>
      </c>
      <c r="I1895" s="2">
        <v>0</v>
      </c>
      <c r="J1895" t="str">
        <f>_xlfn.XLOOKUP(Table2[[#This Row],[Customer_ID]],Table1[Customer_ID],Table1[Customer_Name])</f>
        <v>Doretha Mcmunn</v>
      </c>
    </row>
    <row r="1896" spans="1:10" x14ac:dyDescent="0.35">
      <c r="A1896" s="4">
        <v>40980</v>
      </c>
      <c r="B1896" s="2">
        <v>10879</v>
      </c>
      <c r="C1896" s="2">
        <v>16</v>
      </c>
      <c r="D1896" s="2">
        <v>32</v>
      </c>
      <c r="E1896" s="2">
        <v>35</v>
      </c>
      <c r="F1896" s="2">
        <v>2</v>
      </c>
      <c r="G1896" s="2">
        <v>3</v>
      </c>
      <c r="H1896" s="2">
        <v>351</v>
      </c>
      <c r="I1896" s="2">
        <v>0</v>
      </c>
      <c r="J1896" t="str">
        <f>_xlfn.XLOOKUP(Table2[[#This Row],[Customer_ID]],Table1[Customer_ID],Table1[Customer_Name])</f>
        <v>Doretha Mcmunn</v>
      </c>
    </row>
    <row r="1897" spans="1:10" x14ac:dyDescent="0.35">
      <c r="A1897" s="4">
        <v>40981</v>
      </c>
      <c r="B1897" s="2">
        <v>10881</v>
      </c>
      <c r="C1897" s="2">
        <v>421</v>
      </c>
      <c r="D1897" s="2">
        <v>34</v>
      </c>
      <c r="E1897" s="2">
        <v>95</v>
      </c>
      <c r="F1897" s="2">
        <v>2</v>
      </c>
      <c r="G1897" s="2">
        <v>3</v>
      </c>
      <c r="H1897" s="2">
        <v>8</v>
      </c>
      <c r="I1897" s="2">
        <v>0</v>
      </c>
      <c r="J1897" t="str">
        <f>_xlfn.XLOOKUP(Table2[[#This Row],[Customer_ID]],Table1[Customer_ID],Table1[Customer_Name])</f>
        <v>Duane Dopp</v>
      </c>
    </row>
    <row r="1898" spans="1:10" x14ac:dyDescent="0.35">
      <c r="A1898" s="4">
        <v>40982</v>
      </c>
      <c r="B1898" s="2">
        <v>10885</v>
      </c>
      <c r="C1898" s="2">
        <v>173</v>
      </c>
      <c r="D1898" s="2">
        <v>38</v>
      </c>
      <c r="E1898" s="2">
        <v>60</v>
      </c>
      <c r="F1898" s="2">
        <v>2</v>
      </c>
      <c r="G1898" s="2">
        <v>2</v>
      </c>
      <c r="H1898" s="2">
        <v>205</v>
      </c>
      <c r="I1898" s="2">
        <v>0</v>
      </c>
      <c r="J1898" t="str">
        <f>_xlfn.XLOOKUP(Table2[[#This Row],[Customer_ID]],Table1[Customer_ID],Table1[Customer_Name])</f>
        <v>Edison Littell</v>
      </c>
    </row>
    <row r="1899" spans="1:10" x14ac:dyDescent="0.35">
      <c r="A1899" s="4">
        <v>40982</v>
      </c>
      <c r="B1899" s="2">
        <v>10885</v>
      </c>
      <c r="C1899" s="2">
        <v>289</v>
      </c>
      <c r="D1899" s="2">
        <v>38</v>
      </c>
      <c r="E1899" s="2">
        <v>60</v>
      </c>
      <c r="F1899" s="2">
        <v>2</v>
      </c>
      <c r="G1899" s="2">
        <v>3</v>
      </c>
      <c r="H1899" s="2">
        <v>4</v>
      </c>
      <c r="I1899" s="2">
        <v>0</v>
      </c>
      <c r="J1899" t="str">
        <f>_xlfn.XLOOKUP(Table2[[#This Row],[Customer_ID]],Table1[Customer_ID],Table1[Customer_Name])</f>
        <v>Edison Littell</v>
      </c>
    </row>
    <row r="1900" spans="1:10" x14ac:dyDescent="0.35">
      <c r="A1900" s="4">
        <v>40982</v>
      </c>
      <c r="B1900" s="2">
        <v>10885</v>
      </c>
      <c r="C1900" s="2">
        <v>239</v>
      </c>
      <c r="D1900" s="2">
        <v>38</v>
      </c>
      <c r="E1900" s="2">
        <v>60</v>
      </c>
      <c r="F1900" s="2">
        <v>2</v>
      </c>
      <c r="G1900" s="2">
        <v>2</v>
      </c>
      <c r="H1900" s="2">
        <v>20</v>
      </c>
      <c r="I1900" s="2">
        <v>0</v>
      </c>
      <c r="J1900" t="str">
        <f>_xlfn.XLOOKUP(Table2[[#This Row],[Customer_ID]],Table1[Customer_ID],Table1[Customer_Name])</f>
        <v>Edison Littell</v>
      </c>
    </row>
    <row r="1901" spans="1:10" x14ac:dyDescent="0.35">
      <c r="A1901" s="4">
        <v>40982</v>
      </c>
      <c r="B1901" s="2">
        <v>10885</v>
      </c>
      <c r="C1901" s="2">
        <v>242</v>
      </c>
      <c r="D1901" s="2">
        <v>38</v>
      </c>
      <c r="E1901" s="2">
        <v>60</v>
      </c>
      <c r="F1901" s="2">
        <v>2</v>
      </c>
      <c r="G1901" s="2">
        <v>2</v>
      </c>
      <c r="H1901" s="2">
        <v>20</v>
      </c>
      <c r="I1901" s="2">
        <v>0</v>
      </c>
      <c r="J1901" t="str">
        <f>_xlfn.XLOOKUP(Table2[[#This Row],[Customer_ID]],Table1[Customer_ID],Table1[Customer_Name])</f>
        <v>Edison Littell</v>
      </c>
    </row>
    <row r="1902" spans="1:10" x14ac:dyDescent="0.35">
      <c r="A1902" s="4">
        <v>40982</v>
      </c>
      <c r="B1902" s="2">
        <v>10883</v>
      </c>
      <c r="C1902" s="2">
        <v>165</v>
      </c>
      <c r="D1902" s="2">
        <v>36</v>
      </c>
      <c r="E1902" s="2">
        <v>54</v>
      </c>
      <c r="F1902" s="2">
        <v>2</v>
      </c>
      <c r="G1902" s="2">
        <v>2</v>
      </c>
      <c r="H1902" s="2">
        <v>202</v>
      </c>
      <c r="I1902" s="2">
        <v>0</v>
      </c>
      <c r="J1902" t="str">
        <f>_xlfn.XLOOKUP(Table2[[#This Row],[Customer_ID]],Table1[Customer_ID],Table1[Customer_Name])</f>
        <v>Earnestine Heidenreich</v>
      </c>
    </row>
    <row r="1903" spans="1:10" x14ac:dyDescent="0.35">
      <c r="A1903" s="4">
        <v>40983</v>
      </c>
      <c r="B1903" s="2">
        <v>10887</v>
      </c>
      <c r="C1903" s="2">
        <v>347</v>
      </c>
      <c r="D1903" s="2">
        <v>40</v>
      </c>
      <c r="E1903" s="2">
        <v>17</v>
      </c>
      <c r="F1903" s="2">
        <v>2</v>
      </c>
      <c r="G1903" s="2">
        <v>1</v>
      </c>
      <c r="H1903" s="2">
        <v>5</v>
      </c>
      <c r="I1903" s="2">
        <v>0</v>
      </c>
      <c r="J1903" t="str">
        <f>_xlfn.XLOOKUP(Table2[[#This Row],[Customer_ID]],Table1[Customer_ID],Table1[Customer_Name])</f>
        <v>Eleonora Eddinger</v>
      </c>
    </row>
    <row r="1904" spans="1:10" x14ac:dyDescent="0.35">
      <c r="A1904" s="4">
        <v>40986</v>
      </c>
      <c r="B1904" s="2">
        <v>10889</v>
      </c>
      <c r="C1904" s="2">
        <v>40</v>
      </c>
      <c r="D1904" s="2">
        <v>42</v>
      </c>
      <c r="E1904" s="2">
        <v>90</v>
      </c>
      <c r="F1904" s="2">
        <v>2</v>
      </c>
      <c r="G1904" s="2">
        <v>3</v>
      </c>
      <c r="H1904" s="2">
        <v>15</v>
      </c>
      <c r="I1904" s="2">
        <v>0</v>
      </c>
      <c r="J1904" t="str">
        <f>_xlfn.XLOOKUP(Table2[[#This Row],[Customer_ID]],Table1[Customer_ID],Table1[Customer_Name])</f>
        <v>Eliseo Mangual</v>
      </c>
    </row>
    <row r="1905" spans="1:10" x14ac:dyDescent="0.35">
      <c r="A1905" s="4">
        <v>40986</v>
      </c>
      <c r="B1905" s="2">
        <v>10889</v>
      </c>
      <c r="C1905" s="2">
        <v>436</v>
      </c>
      <c r="D1905" s="2">
        <v>42</v>
      </c>
      <c r="E1905" s="2">
        <v>90</v>
      </c>
      <c r="F1905" s="2">
        <v>2</v>
      </c>
      <c r="G1905" s="2">
        <v>1</v>
      </c>
      <c r="H1905" s="2">
        <v>8</v>
      </c>
      <c r="I1905" s="2">
        <v>0</v>
      </c>
      <c r="J1905" t="str">
        <f>_xlfn.XLOOKUP(Table2[[#This Row],[Customer_ID]],Table1[Customer_ID],Table1[Customer_Name])</f>
        <v>Eliseo Mangual</v>
      </c>
    </row>
    <row r="1906" spans="1:10" x14ac:dyDescent="0.35">
      <c r="A1906" s="4">
        <v>40987</v>
      </c>
      <c r="B1906" s="2">
        <v>10891</v>
      </c>
      <c r="C1906" s="2">
        <v>370</v>
      </c>
      <c r="D1906" s="2">
        <v>44</v>
      </c>
      <c r="E1906" s="2">
        <v>15</v>
      </c>
      <c r="F1906" s="2">
        <v>2</v>
      </c>
      <c r="G1906" s="2">
        <v>5</v>
      </c>
      <c r="H1906" s="2">
        <v>7</v>
      </c>
      <c r="I1906" s="2">
        <v>0</v>
      </c>
      <c r="J1906" t="str">
        <f>_xlfn.XLOOKUP(Table2[[#This Row],[Customer_ID]],Table1[Customer_ID],Table1[Customer_Name])</f>
        <v>Eura Gordan</v>
      </c>
    </row>
    <row r="1907" spans="1:10" x14ac:dyDescent="0.35">
      <c r="A1907" s="4">
        <v>40988</v>
      </c>
      <c r="B1907" s="2">
        <v>10893</v>
      </c>
      <c r="C1907" s="2">
        <v>351</v>
      </c>
      <c r="D1907" s="2">
        <v>46</v>
      </c>
      <c r="E1907" s="2">
        <v>1</v>
      </c>
      <c r="F1907" s="2">
        <v>2</v>
      </c>
      <c r="G1907" s="2">
        <v>2</v>
      </c>
      <c r="H1907" s="2">
        <v>66</v>
      </c>
      <c r="I1907" s="2">
        <v>0</v>
      </c>
      <c r="J1907" t="str">
        <f>_xlfn.XLOOKUP(Table2[[#This Row],[Customer_ID]],Table1[Customer_ID],Table1[Customer_Name])</f>
        <v>Fay Cumbo</v>
      </c>
    </row>
    <row r="1908" spans="1:10" x14ac:dyDescent="0.35">
      <c r="A1908" s="4">
        <v>40988</v>
      </c>
      <c r="B1908" s="2">
        <v>10893</v>
      </c>
      <c r="C1908" s="2">
        <v>360</v>
      </c>
      <c r="D1908" s="2">
        <v>46</v>
      </c>
      <c r="E1908" s="2">
        <v>1</v>
      </c>
      <c r="F1908" s="2">
        <v>2</v>
      </c>
      <c r="G1908" s="2">
        <v>6</v>
      </c>
      <c r="H1908" s="2">
        <v>45</v>
      </c>
      <c r="I1908" s="2">
        <v>0</v>
      </c>
      <c r="J1908" t="str">
        <f>_xlfn.XLOOKUP(Table2[[#This Row],[Customer_ID]],Table1[Customer_ID],Table1[Customer_Name])</f>
        <v>Fay Cumbo</v>
      </c>
    </row>
    <row r="1909" spans="1:10" x14ac:dyDescent="0.35">
      <c r="A1909" s="4">
        <v>40988</v>
      </c>
      <c r="B1909" s="2">
        <v>10895</v>
      </c>
      <c r="C1909" s="2">
        <v>238</v>
      </c>
      <c r="D1909" s="2">
        <v>48</v>
      </c>
      <c r="E1909" s="2">
        <v>19</v>
      </c>
      <c r="F1909" s="2">
        <v>2</v>
      </c>
      <c r="G1909" s="2">
        <v>3</v>
      </c>
      <c r="H1909" s="2">
        <v>24</v>
      </c>
      <c r="I1909" s="2">
        <v>0</v>
      </c>
      <c r="J1909" t="str">
        <f>_xlfn.XLOOKUP(Table2[[#This Row],[Customer_ID]],Table1[Customer_ID],Table1[Customer_Name])</f>
        <v>Federico Flores</v>
      </c>
    </row>
    <row r="1910" spans="1:10" x14ac:dyDescent="0.35">
      <c r="A1910" s="4">
        <v>40988</v>
      </c>
      <c r="B1910" s="2">
        <v>10893</v>
      </c>
      <c r="C1910" s="2">
        <v>403</v>
      </c>
      <c r="D1910" s="2">
        <v>46</v>
      </c>
      <c r="E1910" s="2">
        <v>1</v>
      </c>
      <c r="F1910" s="2">
        <v>2</v>
      </c>
      <c r="G1910" s="2">
        <v>3</v>
      </c>
      <c r="H1910" s="2">
        <v>18</v>
      </c>
      <c r="I1910" s="2">
        <v>0</v>
      </c>
      <c r="J1910" t="str">
        <f>_xlfn.XLOOKUP(Table2[[#This Row],[Customer_ID]],Table1[Customer_ID],Table1[Customer_Name])</f>
        <v>Fay Cumbo</v>
      </c>
    </row>
    <row r="1911" spans="1:10" x14ac:dyDescent="0.35">
      <c r="A1911" s="4">
        <v>40988</v>
      </c>
      <c r="B1911" s="2">
        <v>10895</v>
      </c>
      <c r="C1911" s="2">
        <v>35</v>
      </c>
      <c r="D1911" s="2">
        <v>48</v>
      </c>
      <c r="E1911" s="2">
        <v>19</v>
      </c>
      <c r="F1911" s="2">
        <v>2</v>
      </c>
      <c r="G1911" s="2">
        <v>7</v>
      </c>
      <c r="H1911" s="2">
        <v>17</v>
      </c>
      <c r="I1911" s="2">
        <v>0</v>
      </c>
      <c r="J1911" t="str">
        <f>_xlfn.XLOOKUP(Table2[[#This Row],[Customer_ID]],Table1[Customer_ID],Table1[Customer_Name])</f>
        <v>Federico Flores</v>
      </c>
    </row>
    <row r="1912" spans="1:10" x14ac:dyDescent="0.35">
      <c r="A1912" s="4">
        <v>40988</v>
      </c>
      <c r="B1912" s="2">
        <v>10893</v>
      </c>
      <c r="C1912" s="2">
        <v>319</v>
      </c>
      <c r="D1912" s="2">
        <v>46</v>
      </c>
      <c r="E1912" s="2">
        <v>1</v>
      </c>
      <c r="F1912" s="2">
        <v>2</v>
      </c>
      <c r="G1912" s="2">
        <v>1</v>
      </c>
      <c r="H1912" s="2">
        <v>4</v>
      </c>
      <c r="I1912" s="2">
        <v>0</v>
      </c>
      <c r="J1912" t="str">
        <f>_xlfn.XLOOKUP(Table2[[#This Row],[Customer_ID]],Table1[Customer_ID],Table1[Customer_Name])</f>
        <v>Fay Cumbo</v>
      </c>
    </row>
    <row r="1913" spans="1:10" x14ac:dyDescent="0.35">
      <c r="A1913" s="4">
        <v>40988</v>
      </c>
      <c r="B1913" s="2">
        <v>10895</v>
      </c>
      <c r="C1913" s="2">
        <v>66</v>
      </c>
      <c r="D1913" s="2">
        <v>48</v>
      </c>
      <c r="E1913" s="2">
        <v>19</v>
      </c>
      <c r="F1913" s="2">
        <v>2</v>
      </c>
      <c r="G1913" s="2">
        <v>3</v>
      </c>
      <c r="H1913" s="2">
        <v>5</v>
      </c>
      <c r="I1913" s="2">
        <v>0</v>
      </c>
      <c r="J1913" t="str">
        <f>_xlfn.XLOOKUP(Table2[[#This Row],[Customer_ID]],Table1[Customer_ID],Table1[Customer_Name])</f>
        <v>Federico Flores</v>
      </c>
    </row>
    <row r="1914" spans="1:10" x14ac:dyDescent="0.35">
      <c r="A1914" s="4">
        <v>40988</v>
      </c>
      <c r="B1914" s="2">
        <v>10893</v>
      </c>
      <c r="C1914" s="2">
        <v>325</v>
      </c>
      <c r="D1914" s="2">
        <v>46</v>
      </c>
      <c r="E1914" s="2">
        <v>1</v>
      </c>
      <c r="F1914" s="2">
        <v>2</v>
      </c>
      <c r="G1914" s="2">
        <v>2</v>
      </c>
      <c r="H1914" s="2">
        <v>66</v>
      </c>
      <c r="I1914" s="2">
        <v>0</v>
      </c>
      <c r="J1914" t="str">
        <f>_xlfn.XLOOKUP(Table2[[#This Row],[Customer_ID]],Table1[Customer_ID],Table1[Customer_Name])</f>
        <v>Fay Cumbo</v>
      </c>
    </row>
    <row r="1915" spans="1:10" x14ac:dyDescent="0.35">
      <c r="A1915" s="4">
        <v>40988</v>
      </c>
      <c r="B1915" s="2">
        <v>10895</v>
      </c>
      <c r="C1915" s="2">
        <v>30</v>
      </c>
      <c r="D1915" s="2">
        <v>48</v>
      </c>
      <c r="E1915" s="2">
        <v>19</v>
      </c>
      <c r="F1915" s="2">
        <v>2</v>
      </c>
      <c r="G1915" s="2">
        <v>4</v>
      </c>
      <c r="H1915" s="2">
        <v>12</v>
      </c>
      <c r="I1915" s="2">
        <v>0</v>
      </c>
      <c r="J1915" t="str">
        <f>_xlfn.XLOOKUP(Table2[[#This Row],[Customer_ID]],Table1[Customer_ID],Table1[Customer_Name])</f>
        <v>Federico Flores</v>
      </c>
    </row>
    <row r="1916" spans="1:10" x14ac:dyDescent="0.35">
      <c r="A1916" s="4">
        <v>40989</v>
      </c>
      <c r="B1916" s="2">
        <v>10897</v>
      </c>
      <c r="C1916" s="2">
        <v>4</v>
      </c>
      <c r="D1916" s="2">
        <v>50</v>
      </c>
      <c r="E1916" s="2">
        <v>83</v>
      </c>
      <c r="F1916" s="2">
        <v>2</v>
      </c>
      <c r="G1916" s="2">
        <v>1</v>
      </c>
      <c r="H1916" s="2">
        <v>506</v>
      </c>
      <c r="I1916" s="2">
        <v>0</v>
      </c>
      <c r="J1916" t="str">
        <f>_xlfn.XLOOKUP(Table2[[#This Row],[Customer_ID]],Table1[Customer_ID],Table1[Customer_Name])</f>
        <v>Gia Junkin</v>
      </c>
    </row>
    <row r="1917" spans="1:10" x14ac:dyDescent="0.35">
      <c r="A1917" s="4">
        <v>40989</v>
      </c>
      <c r="B1917" s="2">
        <v>10897</v>
      </c>
      <c r="C1917" s="2">
        <v>11</v>
      </c>
      <c r="D1917" s="2">
        <v>50</v>
      </c>
      <c r="E1917" s="2">
        <v>83</v>
      </c>
      <c r="F1917" s="2">
        <v>2</v>
      </c>
      <c r="G1917" s="2">
        <v>3</v>
      </c>
      <c r="H1917" s="2">
        <v>208</v>
      </c>
      <c r="I1917" s="2">
        <v>0</v>
      </c>
      <c r="J1917" t="str">
        <f>_xlfn.XLOOKUP(Table2[[#This Row],[Customer_ID]],Table1[Customer_ID],Table1[Customer_Name])</f>
        <v>Gia Junkin</v>
      </c>
    </row>
    <row r="1918" spans="1:10" x14ac:dyDescent="0.35">
      <c r="A1918" s="4">
        <v>40990</v>
      </c>
      <c r="B1918" s="2">
        <v>10899</v>
      </c>
      <c r="C1918" s="2">
        <v>3</v>
      </c>
      <c r="D1918" s="2">
        <v>52</v>
      </c>
      <c r="E1918" s="2">
        <v>32</v>
      </c>
      <c r="F1918" s="2">
        <v>2</v>
      </c>
      <c r="G1918" s="2">
        <v>3</v>
      </c>
      <c r="H1918" s="2">
        <v>532</v>
      </c>
      <c r="I1918" s="2">
        <v>0</v>
      </c>
      <c r="J1918" t="str">
        <f>_xlfn.XLOOKUP(Table2[[#This Row],[Customer_ID]],Table1[Customer_ID],Table1[Customer_Name])</f>
        <v>Glennis Going</v>
      </c>
    </row>
    <row r="1919" spans="1:10" x14ac:dyDescent="0.35">
      <c r="A1919" s="4">
        <v>40993</v>
      </c>
      <c r="B1919" s="2">
        <v>10901</v>
      </c>
      <c r="C1919" s="2">
        <v>182</v>
      </c>
      <c r="D1919" s="2">
        <v>54</v>
      </c>
      <c r="E1919" s="2">
        <v>43</v>
      </c>
      <c r="F1919" s="2">
        <v>2</v>
      </c>
      <c r="G1919" s="2">
        <v>8</v>
      </c>
      <c r="H1919" s="2">
        <v>598</v>
      </c>
      <c r="I1919" s="2">
        <v>0</v>
      </c>
      <c r="J1919" t="str">
        <f>_xlfn.XLOOKUP(Table2[[#This Row],[Customer_ID]],Table1[Customer_ID],Table1[Customer_Name])</f>
        <v>Harmony Burell</v>
      </c>
    </row>
    <row r="1920" spans="1:10" x14ac:dyDescent="0.35">
      <c r="A1920" s="4">
        <v>40993</v>
      </c>
      <c r="B1920" s="2">
        <v>10901</v>
      </c>
      <c r="C1920" s="2">
        <v>181</v>
      </c>
      <c r="D1920" s="2">
        <v>54</v>
      </c>
      <c r="E1920" s="2">
        <v>43</v>
      </c>
      <c r="F1920" s="2">
        <v>2</v>
      </c>
      <c r="G1920" s="2">
        <v>3</v>
      </c>
      <c r="H1920" s="2">
        <v>482</v>
      </c>
      <c r="I1920" s="2">
        <v>0</v>
      </c>
      <c r="J1920" t="str">
        <f>_xlfn.XLOOKUP(Table2[[#This Row],[Customer_ID]],Table1[Customer_ID],Table1[Customer_Name])</f>
        <v>Harmony Burell</v>
      </c>
    </row>
    <row r="1921" spans="1:10" x14ac:dyDescent="0.35">
      <c r="A1921" s="4">
        <v>40994</v>
      </c>
      <c r="B1921" s="2">
        <v>10905</v>
      </c>
      <c r="C1921" s="2">
        <v>183</v>
      </c>
      <c r="D1921" s="2">
        <v>58</v>
      </c>
      <c r="E1921" s="2">
        <v>41</v>
      </c>
      <c r="F1921" s="2">
        <v>2</v>
      </c>
      <c r="G1921" s="2">
        <v>4</v>
      </c>
      <c r="H1921" s="2">
        <v>370</v>
      </c>
      <c r="I1921" s="2">
        <v>0</v>
      </c>
      <c r="J1921" t="str">
        <f>_xlfn.XLOOKUP(Table2[[#This Row],[Customer_ID]],Table1[Customer_ID],Table1[Customer_Name])</f>
        <v>Isis Isom</v>
      </c>
    </row>
    <row r="1922" spans="1:10" x14ac:dyDescent="0.35">
      <c r="A1922" s="4">
        <v>40994</v>
      </c>
      <c r="B1922" s="2">
        <v>10903</v>
      </c>
      <c r="C1922" s="2">
        <v>5</v>
      </c>
      <c r="D1922" s="2">
        <v>56</v>
      </c>
      <c r="E1922" s="2">
        <v>50</v>
      </c>
      <c r="F1922" s="2">
        <v>2</v>
      </c>
      <c r="G1922" s="2">
        <v>5</v>
      </c>
      <c r="H1922" s="2">
        <v>497</v>
      </c>
      <c r="I1922" s="2">
        <v>0</v>
      </c>
      <c r="J1922" t="str">
        <f>_xlfn.XLOOKUP(Table2[[#This Row],[Customer_ID]],Table1[Customer_ID],Table1[Customer_Name])</f>
        <v>Hsiu Hinrichs</v>
      </c>
    </row>
    <row r="1923" spans="1:10" x14ac:dyDescent="0.35">
      <c r="A1923" s="4">
        <v>40994</v>
      </c>
      <c r="B1923" s="2">
        <v>10903</v>
      </c>
      <c r="C1923" s="2">
        <v>6</v>
      </c>
      <c r="D1923" s="2">
        <v>56</v>
      </c>
      <c r="E1923" s="2">
        <v>50</v>
      </c>
      <c r="F1923" s="2">
        <v>2</v>
      </c>
      <c r="G1923" s="2">
        <v>8</v>
      </c>
      <c r="H1923" s="2">
        <v>489</v>
      </c>
      <c r="I1923" s="2">
        <v>0</v>
      </c>
      <c r="J1923" t="str">
        <f>_xlfn.XLOOKUP(Table2[[#This Row],[Customer_ID]],Table1[Customer_ID],Table1[Customer_Name])</f>
        <v>Hsiu Hinrichs</v>
      </c>
    </row>
    <row r="1924" spans="1:10" x14ac:dyDescent="0.35">
      <c r="A1924" s="4">
        <v>40994</v>
      </c>
      <c r="B1924" s="2">
        <v>10903</v>
      </c>
      <c r="C1924" s="2">
        <v>7</v>
      </c>
      <c r="D1924" s="2">
        <v>56</v>
      </c>
      <c r="E1924" s="2">
        <v>50</v>
      </c>
      <c r="F1924" s="2">
        <v>2</v>
      </c>
      <c r="G1924" s="2">
        <v>7</v>
      </c>
      <c r="H1924" s="2">
        <v>395</v>
      </c>
      <c r="I1924" s="2">
        <v>0</v>
      </c>
      <c r="J1924" t="str">
        <f>_xlfn.XLOOKUP(Table2[[#This Row],[Customer_ID]],Table1[Customer_ID],Table1[Customer_Name])</f>
        <v>Hsiu Hinrichs</v>
      </c>
    </row>
    <row r="1925" spans="1:10" x14ac:dyDescent="0.35">
      <c r="A1925" s="4">
        <v>40995</v>
      </c>
      <c r="B1925" s="2">
        <v>10907</v>
      </c>
      <c r="C1925" s="2">
        <v>49</v>
      </c>
      <c r="D1925" s="2">
        <v>60</v>
      </c>
      <c r="E1925" s="2">
        <v>80</v>
      </c>
      <c r="F1925" s="2">
        <v>2</v>
      </c>
      <c r="G1925" s="2">
        <v>2</v>
      </c>
      <c r="H1925" s="2">
        <v>30</v>
      </c>
      <c r="I1925" s="2">
        <v>0</v>
      </c>
      <c r="J1925" t="str">
        <f>_xlfn.XLOOKUP(Table2[[#This Row],[Customer_ID]],Table1[Customer_ID],Table1[Customer_Name])</f>
        <v>Janetta Jhonson</v>
      </c>
    </row>
    <row r="1926" spans="1:10" x14ac:dyDescent="0.35">
      <c r="A1926" s="4">
        <v>40996</v>
      </c>
      <c r="B1926" s="2">
        <v>10911</v>
      </c>
      <c r="C1926" s="2">
        <v>10</v>
      </c>
      <c r="D1926" s="2">
        <v>64</v>
      </c>
      <c r="E1926" s="2">
        <v>7</v>
      </c>
      <c r="F1926" s="2">
        <v>2</v>
      </c>
      <c r="G1926" s="2">
        <v>9</v>
      </c>
      <c r="H1926" s="2">
        <v>236</v>
      </c>
      <c r="I1926" s="2">
        <v>0</v>
      </c>
      <c r="J1926" t="str">
        <f>_xlfn.XLOOKUP(Table2[[#This Row],[Customer_ID]],Table1[Customer_ID],Table1[Customer_Name])</f>
        <v>Josephine Escoto</v>
      </c>
    </row>
    <row r="1927" spans="1:10" x14ac:dyDescent="0.35">
      <c r="A1927" s="4">
        <v>40996</v>
      </c>
      <c r="B1927" s="2">
        <v>10909</v>
      </c>
      <c r="C1927" s="2">
        <v>120</v>
      </c>
      <c r="D1927" s="2">
        <v>62</v>
      </c>
      <c r="E1927" s="2">
        <v>53</v>
      </c>
      <c r="F1927" s="2">
        <v>2</v>
      </c>
      <c r="G1927" s="2">
        <v>9</v>
      </c>
      <c r="H1927" s="2">
        <v>372</v>
      </c>
      <c r="I1927" s="2">
        <v>0</v>
      </c>
      <c r="J1927" t="str">
        <f>_xlfn.XLOOKUP(Table2[[#This Row],[Customer_ID]],Table1[Customer_ID],Table1[Customer_Name])</f>
        <v>Jeanine Chavez</v>
      </c>
    </row>
    <row r="1928" spans="1:10" x14ac:dyDescent="0.35">
      <c r="A1928" s="4">
        <v>40996</v>
      </c>
      <c r="B1928" s="2">
        <v>10913</v>
      </c>
      <c r="C1928" s="2">
        <v>70</v>
      </c>
      <c r="D1928" s="2">
        <v>66</v>
      </c>
      <c r="F1928" s="2">
        <v>2</v>
      </c>
      <c r="G1928" s="2">
        <v>1</v>
      </c>
      <c r="H1928" s="2">
        <v>6</v>
      </c>
      <c r="I1928" s="2">
        <v>0</v>
      </c>
      <c r="J1928" t="str">
        <f>_xlfn.XLOOKUP(Table2[[#This Row],[Customer_ID]],Table1[Customer_ID],Table1[Customer_Name])</f>
        <v>Julieta Hard</v>
      </c>
    </row>
    <row r="1929" spans="1:10" x14ac:dyDescent="0.35">
      <c r="A1929" s="4">
        <v>40996</v>
      </c>
      <c r="B1929" s="2">
        <v>10913</v>
      </c>
      <c r="C1929" s="2">
        <v>73</v>
      </c>
      <c r="D1929" s="2">
        <v>66</v>
      </c>
      <c r="F1929" s="2">
        <v>2</v>
      </c>
      <c r="G1929" s="2">
        <v>5</v>
      </c>
      <c r="H1929" s="2">
        <v>5</v>
      </c>
      <c r="I1929" s="2">
        <v>0</v>
      </c>
      <c r="J1929" t="str">
        <f>_xlfn.XLOOKUP(Table2[[#This Row],[Customer_ID]],Table1[Customer_ID],Table1[Customer_Name])</f>
        <v>Julieta Hard</v>
      </c>
    </row>
    <row r="1930" spans="1:10" x14ac:dyDescent="0.35">
      <c r="A1930" s="4">
        <v>40996</v>
      </c>
      <c r="B1930" s="2">
        <v>10911</v>
      </c>
      <c r="C1930" s="2">
        <v>123</v>
      </c>
      <c r="D1930" s="2">
        <v>64</v>
      </c>
      <c r="E1930" s="2">
        <v>7</v>
      </c>
      <c r="F1930" s="2">
        <v>2</v>
      </c>
      <c r="G1930" s="2">
        <v>8</v>
      </c>
      <c r="H1930" s="2">
        <v>1043</v>
      </c>
      <c r="I1930" s="2">
        <v>0</v>
      </c>
      <c r="J1930" t="str">
        <f>_xlfn.XLOOKUP(Table2[[#This Row],[Customer_ID]],Table1[Customer_ID],Table1[Customer_Name])</f>
        <v>Josephine Escoto</v>
      </c>
    </row>
    <row r="1931" spans="1:10" x14ac:dyDescent="0.35">
      <c r="A1931" s="4">
        <v>40996</v>
      </c>
      <c r="B1931" s="2">
        <v>10909</v>
      </c>
      <c r="C1931" s="2">
        <v>77</v>
      </c>
      <c r="D1931" s="2">
        <v>62</v>
      </c>
      <c r="E1931" s="2">
        <v>53</v>
      </c>
      <c r="F1931" s="2">
        <v>2</v>
      </c>
      <c r="G1931" s="2">
        <v>2</v>
      </c>
      <c r="H1931" s="2">
        <v>13</v>
      </c>
      <c r="I1931" s="2">
        <v>0</v>
      </c>
      <c r="J1931" t="str">
        <f>_xlfn.XLOOKUP(Table2[[#This Row],[Customer_ID]],Table1[Customer_ID],Table1[Customer_Name])</f>
        <v>Jeanine Chavez</v>
      </c>
    </row>
    <row r="1932" spans="1:10" x14ac:dyDescent="0.35">
      <c r="A1932" s="4">
        <v>40996</v>
      </c>
      <c r="B1932" s="2">
        <v>10913</v>
      </c>
      <c r="C1932" s="2">
        <v>82</v>
      </c>
      <c r="D1932" s="2">
        <v>66</v>
      </c>
      <c r="F1932" s="2">
        <v>2</v>
      </c>
      <c r="G1932" s="2">
        <v>4</v>
      </c>
      <c r="H1932" s="2">
        <v>29</v>
      </c>
      <c r="I1932" s="2">
        <v>0</v>
      </c>
      <c r="J1932" t="str">
        <f>_xlfn.XLOOKUP(Table2[[#This Row],[Customer_ID]],Table1[Customer_ID],Table1[Customer_Name])</f>
        <v>Julieta Hard</v>
      </c>
    </row>
    <row r="1933" spans="1:10" x14ac:dyDescent="0.35">
      <c r="A1933" s="4">
        <v>40996</v>
      </c>
      <c r="B1933" s="2">
        <v>10911</v>
      </c>
      <c r="C1933" s="2">
        <v>85</v>
      </c>
      <c r="D1933" s="2">
        <v>64</v>
      </c>
      <c r="E1933" s="2">
        <v>7</v>
      </c>
      <c r="F1933" s="2">
        <v>2</v>
      </c>
      <c r="G1933" s="2">
        <v>2</v>
      </c>
      <c r="H1933" s="2">
        <v>4</v>
      </c>
      <c r="I1933" s="2">
        <v>0</v>
      </c>
      <c r="J1933" t="str">
        <f>_xlfn.XLOOKUP(Table2[[#This Row],[Customer_ID]],Table1[Customer_ID],Table1[Customer_Name])</f>
        <v>Josephine Escoto</v>
      </c>
    </row>
    <row r="1934" spans="1:10" x14ac:dyDescent="0.35">
      <c r="A1934" s="4">
        <v>40996</v>
      </c>
      <c r="B1934" s="2">
        <v>10909</v>
      </c>
      <c r="C1934" s="2">
        <v>124</v>
      </c>
      <c r="D1934" s="2">
        <v>62</v>
      </c>
      <c r="E1934" s="2">
        <v>53</v>
      </c>
      <c r="F1934" s="2">
        <v>2</v>
      </c>
      <c r="G1934" s="2">
        <v>3</v>
      </c>
      <c r="H1934" s="2">
        <v>522</v>
      </c>
      <c r="I1934" s="2">
        <v>0</v>
      </c>
      <c r="J1934" t="str">
        <f>_xlfn.XLOOKUP(Table2[[#This Row],[Customer_ID]],Table1[Customer_ID],Table1[Customer_Name])</f>
        <v>Jeanine Chavez</v>
      </c>
    </row>
    <row r="1935" spans="1:10" x14ac:dyDescent="0.35">
      <c r="A1935" s="4">
        <v>40997</v>
      </c>
      <c r="B1935" s="2">
        <v>10915</v>
      </c>
      <c r="C1935" s="2">
        <v>252</v>
      </c>
      <c r="D1935" s="2">
        <v>68</v>
      </c>
      <c r="F1935" s="2">
        <v>2</v>
      </c>
      <c r="G1935" s="2">
        <v>7</v>
      </c>
      <c r="H1935" s="2">
        <v>27</v>
      </c>
      <c r="I1935" s="2">
        <v>0</v>
      </c>
      <c r="J1935" t="str">
        <f>_xlfn.XLOOKUP(Table2[[#This Row],[Customer_ID]],Table1[Customer_ID],Table1[Customer_Name])</f>
        <v>Kandy Tully</v>
      </c>
    </row>
    <row r="1936" spans="1:10" x14ac:dyDescent="0.35">
      <c r="A1936" s="4">
        <v>40997</v>
      </c>
      <c r="B1936" s="2">
        <v>10915</v>
      </c>
      <c r="C1936" s="2">
        <v>195</v>
      </c>
      <c r="D1936" s="2">
        <v>68</v>
      </c>
      <c r="F1936" s="2">
        <v>2</v>
      </c>
      <c r="G1936" s="2">
        <v>6</v>
      </c>
      <c r="H1936" s="2">
        <v>6</v>
      </c>
      <c r="I1936" s="2">
        <v>0</v>
      </c>
      <c r="J1936" t="str">
        <f>_xlfn.XLOOKUP(Table2[[#This Row],[Customer_ID]],Table1[Customer_ID],Table1[Customer_Name])</f>
        <v>Kandy Tully</v>
      </c>
    </row>
    <row r="1937" spans="1:10" x14ac:dyDescent="0.35">
      <c r="A1937" s="4">
        <v>40997</v>
      </c>
      <c r="B1937" s="2">
        <v>10915</v>
      </c>
      <c r="C1937" s="2">
        <v>76</v>
      </c>
      <c r="D1937" s="2">
        <v>68</v>
      </c>
      <c r="F1937" s="2">
        <v>2</v>
      </c>
      <c r="G1937" s="2">
        <v>2</v>
      </c>
      <c r="H1937" s="2">
        <v>15</v>
      </c>
      <c r="I1937" s="2">
        <v>0</v>
      </c>
      <c r="J1937" t="str">
        <f>_xlfn.XLOOKUP(Table2[[#This Row],[Customer_ID]],Table1[Customer_ID],Table1[Customer_Name])</f>
        <v>Kandy Tully</v>
      </c>
    </row>
    <row r="1938" spans="1:10" x14ac:dyDescent="0.35">
      <c r="A1938" s="4">
        <v>41000</v>
      </c>
      <c r="B1938" s="2">
        <v>10917</v>
      </c>
      <c r="C1938" s="2">
        <v>396</v>
      </c>
      <c r="D1938" s="2">
        <v>70</v>
      </c>
      <c r="F1938" s="2">
        <v>2</v>
      </c>
      <c r="G1938" s="2">
        <v>6</v>
      </c>
      <c r="H1938" s="2">
        <v>15</v>
      </c>
      <c r="I1938" s="2">
        <v>0</v>
      </c>
      <c r="J1938" t="str">
        <f>_xlfn.XLOOKUP(Table2[[#This Row],[Customer_ID]],Table1[Customer_ID],Table1[Customer_Name])</f>
        <v>Karina Lisle</v>
      </c>
    </row>
    <row r="1939" spans="1:10" x14ac:dyDescent="0.35">
      <c r="A1939" s="4">
        <v>41000</v>
      </c>
      <c r="B1939" s="2">
        <v>10919</v>
      </c>
      <c r="C1939" s="2">
        <v>404</v>
      </c>
      <c r="D1939" s="2">
        <v>72</v>
      </c>
      <c r="F1939" s="2">
        <v>2</v>
      </c>
      <c r="G1939" s="2">
        <v>8</v>
      </c>
      <c r="H1939" s="2">
        <v>20</v>
      </c>
      <c r="I1939" s="2">
        <v>0</v>
      </c>
      <c r="J1939" t="str">
        <f>_xlfn.XLOOKUP(Table2[[#This Row],[Customer_ID]],Table1[Customer_ID],Table1[Customer_Name])</f>
        <v>Karla Munoz</v>
      </c>
    </row>
    <row r="1940" spans="1:10" x14ac:dyDescent="0.35">
      <c r="A1940" s="4">
        <v>41000</v>
      </c>
      <c r="B1940" s="2">
        <v>10917</v>
      </c>
      <c r="C1940" s="2">
        <v>386</v>
      </c>
      <c r="D1940" s="2">
        <v>70</v>
      </c>
      <c r="F1940" s="2">
        <v>2</v>
      </c>
      <c r="G1940" s="2">
        <v>1</v>
      </c>
      <c r="H1940" s="2">
        <v>15</v>
      </c>
      <c r="I1940" s="2">
        <v>0</v>
      </c>
      <c r="J1940" t="str">
        <f>_xlfn.XLOOKUP(Table2[[#This Row],[Customer_ID]],Table1[Customer_ID],Table1[Customer_Name])</f>
        <v>Karina Lisle</v>
      </c>
    </row>
    <row r="1941" spans="1:10" x14ac:dyDescent="0.35">
      <c r="A1941" s="4">
        <v>41000</v>
      </c>
      <c r="B1941" s="2">
        <v>10919</v>
      </c>
      <c r="C1941" s="2">
        <v>447</v>
      </c>
      <c r="D1941" s="2">
        <v>72</v>
      </c>
      <c r="F1941" s="2">
        <v>2</v>
      </c>
      <c r="G1941" s="2">
        <v>15</v>
      </c>
      <c r="H1941" s="2">
        <v>38</v>
      </c>
      <c r="I1941" s="2">
        <v>0</v>
      </c>
      <c r="J1941" t="str">
        <f>_xlfn.XLOOKUP(Table2[[#This Row],[Customer_ID]],Table1[Customer_ID],Table1[Customer_Name])</f>
        <v>Karla Munoz</v>
      </c>
    </row>
    <row r="1942" spans="1:10" x14ac:dyDescent="0.35">
      <c r="A1942" s="4">
        <v>41000</v>
      </c>
      <c r="B1942" s="2">
        <v>10919</v>
      </c>
      <c r="C1942" s="2">
        <v>415</v>
      </c>
      <c r="D1942" s="2">
        <v>72</v>
      </c>
      <c r="F1942" s="2">
        <v>2</v>
      </c>
      <c r="G1942" s="2">
        <v>2</v>
      </c>
      <c r="H1942" s="2">
        <v>20</v>
      </c>
      <c r="I1942" s="2">
        <v>0</v>
      </c>
      <c r="J1942" t="str">
        <f>_xlfn.XLOOKUP(Table2[[#This Row],[Customer_ID]],Table1[Customer_ID],Table1[Customer_Name])</f>
        <v>Karla Munoz</v>
      </c>
    </row>
    <row r="1943" spans="1:10" x14ac:dyDescent="0.35">
      <c r="A1943" s="4">
        <v>41001</v>
      </c>
      <c r="B1943" s="2">
        <v>10923</v>
      </c>
      <c r="C1943" s="2">
        <v>159</v>
      </c>
      <c r="D1943" s="2">
        <v>76</v>
      </c>
      <c r="F1943" s="2">
        <v>2</v>
      </c>
      <c r="G1943" s="2">
        <v>1</v>
      </c>
      <c r="H1943" s="2">
        <v>1104</v>
      </c>
      <c r="I1943" s="2">
        <v>0</v>
      </c>
      <c r="J1943" t="str">
        <f>_xlfn.XLOOKUP(Table2[[#This Row],[Customer_ID]],Table1[Customer_ID],Table1[Customer_Name])</f>
        <v>Khalilah Demaria</v>
      </c>
    </row>
    <row r="1944" spans="1:10" x14ac:dyDescent="0.35">
      <c r="A1944" s="4">
        <v>41001</v>
      </c>
      <c r="B1944" s="2">
        <v>10921</v>
      </c>
      <c r="C1944" s="2">
        <v>208</v>
      </c>
      <c r="D1944" s="2">
        <v>74</v>
      </c>
      <c r="F1944" s="2">
        <v>2</v>
      </c>
      <c r="G1944" s="2">
        <v>3</v>
      </c>
      <c r="H1944" s="2">
        <v>4</v>
      </c>
      <c r="I1944" s="2">
        <v>0</v>
      </c>
      <c r="J1944" t="str">
        <f>_xlfn.XLOOKUP(Table2[[#This Row],[Customer_ID]],Table1[Customer_ID],Table1[Customer_Name])</f>
        <v>Kazuko Serrato</v>
      </c>
    </row>
    <row r="1945" spans="1:10" x14ac:dyDescent="0.35">
      <c r="A1945" s="4">
        <v>41001</v>
      </c>
      <c r="B1945" s="2">
        <v>10923</v>
      </c>
      <c r="C1945" s="2">
        <v>156</v>
      </c>
      <c r="D1945" s="2">
        <v>76</v>
      </c>
      <c r="F1945" s="2">
        <v>2</v>
      </c>
      <c r="G1945" s="2">
        <v>3</v>
      </c>
      <c r="H1945" s="2">
        <v>726</v>
      </c>
      <c r="I1945" s="2">
        <v>0</v>
      </c>
      <c r="J1945" t="str">
        <f>_xlfn.XLOOKUP(Table2[[#This Row],[Customer_ID]],Table1[Customer_ID],Table1[Customer_Name])</f>
        <v>Khalilah Demaria</v>
      </c>
    </row>
    <row r="1946" spans="1:10" x14ac:dyDescent="0.35">
      <c r="A1946" s="4">
        <v>41001</v>
      </c>
      <c r="B1946" s="2">
        <v>10923</v>
      </c>
      <c r="C1946" s="2">
        <v>322</v>
      </c>
      <c r="D1946" s="2">
        <v>76</v>
      </c>
      <c r="F1946" s="2">
        <v>2</v>
      </c>
      <c r="G1946" s="2">
        <v>5</v>
      </c>
      <c r="H1946" s="2">
        <v>2</v>
      </c>
      <c r="I1946" s="2">
        <v>0</v>
      </c>
      <c r="J1946" t="str">
        <f>_xlfn.XLOOKUP(Table2[[#This Row],[Customer_ID]],Table1[Customer_ID],Table1[Customer_Name])</f>
        <v>Khalilah Demaria</v>
      </c>
    </row>
    <row r="1947" spans="1:10" x14ac:dyDescent="0.35">
      <c r="A1947" s="4">
        <v>41001</v>
      </c>
      <c r="B1947" s="2">
        <v>10921</v>
      </c>
      <c r="C1947" s="2">
        <v>207</v>
      </c>
      <c r="D1947" s="2">
        <v>74</v>
      </c>
      <c r="F1947" s="2">
        <v>2</v>
      </c>
      <c r="G1947" s="2">
        <v>2</v>
      </c>
      <c r="H1947" s="2">
        <v>4</v>
      </c>
      <c r="I1947" s="2">
        <v>0</v>
      </c>
      <c r="J1947" t="str">
        <f>_xlfn.XLOOKUP(Table2[[#This Row],[Customer_ID]],Table1[Customer_ID],Table1[Customer_Name])</f>
        <v>Kazuko Serrato</v>
      </c>
    </row>
    <row r="1948" spans="1:10" x14ac:dyDescent="0.35">
      <c r="A1948" s="4">
        <v>41002</v>
      </c>
      <c r="B1948" s="2">
        <v>10925</v>
      </c>
      <c r="C1948" s="2">
        <v>146</v>
      </c>
      <c r="D1948" s="2">
        <v>78</v>
      </c>
      <c r="F1948" s="2">
        <v>2</v>
      </c>
      <c r="G1948" s="2">
        <v>1</v>
      </c>
      <c r="H1948" s="2">
        <v>433</v>
      </c>
      <c r="I1948" s="2">
        <v>0</v>
      </c>
      <c r="J1948" t="str">
        <f>_xlfn.XLOOKUP(Table2[[#This Row],[Customer_ID]],Table1[Customer_ID],Table1[Customer_Name])</f>
        <v>Lacey Rollison</v>
      </c>
    </row>
    <row r="1949" spans="1:10" x14ac:dyDescent="0.35">
      <c r="A1949" s="4">
        <v>41002</v>
      </c>
      <c r="B1949" s="2">
        <v>10925</v>
      </c>
      <c r="C1949" s="2">
        <v>139</v>
      </c>
      <c r="D1949" s="2">
        <v>78</v>
      </c>
      <c r="F1949" s="2">
        <v>2</v>
      </c>
      <c r="G1949" s="2">
        <v>6</v>
      </c>
      <c r="H1949" s="2">
        <v>232</v>
      </c>
      <c r="I1949" s="2">
        <v>0</v>
      </c>
      <c r="J1949" t="str">
        <f>_xlfn.XLOOKUP(Table2[[#This Row],[Customer_ID]],Table1[Customer_ID],Table1[Customer_Name])</f>
        <v>Lacey Rollison</v>
      </c>
    </row>
    <row r="1950" spans="1:10" x14ac:dyDescent="0.35">
      <c r="A1950" s="4">
        <v>41003</v>
      </c>
      <c r="B1950" s="2">
        <v>10929</v>
      </c>
      <c r="C1950" s="2">
        <v>170</v>
      </c>
      <c r="D1950" s="2">
        <v>82</v>
      </c>
      <c r="F1950" s="2">
        <v>2</v>
      </c>
      <c r="G1950" s="2">
        <v>2</v>
      </c>
      <c r="H1950" s="2">
        <v>656</v>
      </c>
      <c r="I1950" s="2">
        <v>0</v>
      </c>
      <c r="J1950" t="str">
        <f>_xlfn.XLOOKUP(Table2[[#This Row],[Customer_ID]],Table1[Customer_ID],Table1[Customer_Name])</f>
        <v>Lesley Rue</v>
      </c>
    </row>
    <row r="1951" spans="1:10" x14ac:dyDescent="0.35">
      <c r="A1951" s="4">
        <v>41003</v>
      </c>
      <c r="B1951" s="2">
        <v>10929</v>
      </c>
      <c r="C1951" s="2">
        <v>83</v>
      </c>
      <c r="D1951" s="2">
        <v>82</v>
      </c>
      <c r="F1951" s="2">
        <v>2</v>
      </c>
      <c r="G1951" s="2">
        <v>2</v>
      </c>
      <c r="H1951" s="2">
        <v>6</v>
      </c>
      <c r="I1951" s="2">
        <v>0</v>
      </c>
      <c r="J1951" t="str">
        <f>_xlfn.XLOOKUP(Table2[[#This Row],[Customer_ID]],Table1[Customer_ID],Table1[Customer_Name])</f>
        <v>Lesley Rue</v>
      </c>
    </row>
    <row r="1952" spans="1:10" x14ac:dyDescent="0.35">
      <c r="A1952" s="4">
        <v>41003</v>
      </c>
      <c r="B1952" s="2">
        <v>10927</v>
      </c>
      <c r="C1952" s="2">
        <v>141</v>
      </c>
      <c r="D1952" s="2">
        <v>80</v>
      </c>
      <c r="F1952" s="2">
        <v>2</v>
      </c>
      <c r="G1952" s="2">
        <v>1</v>
      </c>
      <c r="H1952" s="2">
        <v>180</v>
      </c>
      <c r="I1952" s="2">
        <v>0</v>
      </c>
      <c r="J1952" t="str">
        <f>_xlfn.XLOOKUP(Table2[[#This Row],[Customer_ID]],Table1[Customer_ID],Table1[Customer_Name])</f>
        <v>Lashaunda Mynatt</v>
      </c>
    </row>
    <row r="1953" spans="1:10" x14ac:dyDescent="0.35">
      <c r="A1953" s="4">
        <v>41003</v>
      </c>
      <c r="B1953" s="2">
        <v>10927</v>
      </c>
      <c r="C1953" s="2">
        <v>143</v>
      </c>
      <c r="D1953" s="2">
        <v>80</v>
      </c>
      <c r="F1953" s="2">
        <v>2</v>
      </c>
      <c r="G1953" s="2">
        <v>1</v>
      </c>
      <c r="H1953" s="2">
        <v>158</v>
      </c>
      <c r="I1953" s="2">
        <v>0</v>
      </c>
      <c r="J1953" t="str">
        <f>_xlfn.XLOOKUP(Table2[[#This Row],[Customer_ID]],Table1[Customer_ID],Table1[Customer_Name])</f>
        <v>Lashaunda Mynatt</v>
      </c>
    </row>
    <row r="1954" spans="1:10" x14ac:dyDescent="0.35">
      <c r="A1954" s="4">
        <v>41003</v>
      </c>
      <c r="B1954" s="2">
        <v>10927</v>
      </c>
      <c r="C1954" s="2">
        <v>169</v>
      </c>
      <c r="D1954" s="2">
        <v>80</v>
      </c>
      <c r="F1954" s="2">
        <v>2</v>
      </c>
      <c r="G1954" s="2">
        <v>1</v>
      </c>
      <c r="H1954" s="2">
        <v>204</v>
      </c>
      <c r="I1954" s="2">
        <v>0</v>
      </c>
      <c r="J1954" t="str">
        <f>_xlfn.XLOOKUP(Table2[[#This Row],[Customer_ID]],Table1[Customer_ID],Table1[Customer_Name])</f>
        <v>Lashaunda Mynatt</v>
      </c>
    </row>
    <row r="1955" spans="1:10" x14ac:dyDescent="0.35">
      <c r="A1955" s="4">
        <v>41003</v>
      </c>
      <c r="B1955" s="2">
        <v>10929</v>
      </c>
      <c r="C1955" s="2">
        <v>88</v>
      </c>
      <c r="D1955" s="2">
        <v>82</v>
      </c>
      <c r="F1955" s="2">
        <v>2</v>
      </c>
      <c r="G1955" s="2">
        <v>2</v>
      </c>
      <c r="H1955" s="2">
        <v>16</v>
      </c>
      <c r="I1955" s="2">
        <v>0</v>
      </c>
      <c r="J1955" t="str">
        <f>_xlfn.XLOOKUP(Table2[[#This Row],[Customer_ID]],Table1[Customer_ID],Table1[Customer_Name])</f>
        <v>Lesley Rue</v>
      </c>
    </row>
    <row r="1956" spans="1:10" x14ac:dyDescent="0.35">
      <c r="A1956" s="4">
        <v>41004</v>
      </c>
      <c r="B1956" s="2">
        <v>10931</v>
      </c>
      <c r="C1956" s="2">
        <v>206</v>
      </c>
      <c r="D1956" s="2">
        <v>84</v>
      </c>
      <c r="F1956" s="2">
        <v>2</v>
      </c>
      <c r="G1956" s="2">
        <v>1</v>
      </c>
      <c r="H1956" s="2">
        <v>6</v>
      </c>
      <c r="I1956" s="2">
        <v>0</v>
      </c>
      <c r="J1956" t="str">
        <f>_xlfn.XLOOKUP(Table2[[#This Row],[Customer_ID]],Table1[Customer_ID],Table1[Customer_Name])</f>
        <v>Linn Muncy</v>
      </c>
    </row>
    <row r="1957" spans="1:10" x14ac:dyDescent="0.35">
      <c r="A1957" s="4">
        <v>41004</v>
      </c>
      <c r="B1957" s="2">
        <v>10933</v>
      </c>
      <c r="C1957" s="2">
        <v>222</v>
      </c>
      <c r="D1957" s="2">
        <v>86</v>
      </c>
      <c r="F1957" s="2">
        <v>2</v>
      </c>
      <c r="G1957" s="2">
        <v>8</v>
      </c>
      <c r="H1957" s="2">
        <v>4</v>
      </c>
      <c r="I1957" s="2">
        <v>0</v>
      </c>
      <c r="J1957" t="str">
        <f>_xlfn.XLOOKUP(Table2[[#This Row],[Customer_ID]],Table1[Customer_ID],Table1[Customer_Name])</f>
        <v>Louann Luck</v>
      </c>
    </row>
    <row r="1958" spans="1:10" x14ac:dyDescent="0.35">
      <c r="A1958" s="4">
        <v>41004</v>
      </c>
      <c r="B1958" s="2">
        <v>10931</v>
      </c>
      <c r="C1958" s="2">
        <v>210</v>
      </c>
      <c r="D1958" s="2">
        <v>84</v>
      </c>
      <c r="F1958" s="2">
        <v>2</v>
      </c>
      <c r="G1958" s="2">
        <v>1</v>
      </c>
      <c r="H1958" s="2">
        <v>6</v>
      </c>
      <c r="I1958" s="2">
        <v>0</v>
      </c>
      <c r="J1958" t="str">
        <f>_xlfn.XLOOKUP(Table2[[#This Row],[Customer_ID]],Table1[Customer_ID],Table1[Customer_Name])</f>
        <v>Linn Muncy</v>
      </c>
    </row>
    <row r="1959" spans="1:10" x14ac:dyDescent="0.35">
      <c r="A1959" s="4">
        <v>41004</v>
      </c>
      <c r="B1959" s="2">
        <v>10933</v>
      </c>
      <c r="C1959" s="2">
        <v>332</v>
      </c>
      <c r="D1959" s="2">
        <v>86</v>
      </c>
      <c r="F1959" s="2">
        <v>2</v>
      </c>
      <c r="G1959" s="2">
        <v>5</v>
      </c>
      <c r="H1959" s="2">
        <v>78</v>
      </c>
      <c r="I1959" s="2">
        <v>0</v>
      </c>
      <c r="J1959" t="str">
        <f>_xlfn.XLOOKUP(Table2[[#This Row],[Customer_ID]],Table1[Customer_ID],Table1[Customer_Name])</f>
        <v>Louann Luck</v>
      </c>
    </row>
    <row r="1960" spans="1:10" x14ac:dyDescent="0.35">
      <c r="A1960" s="4">
        <v>41007</v>
      </c>
      <c r="B1960" s="2">
        <v>10935</v>
      </c>
      <c r="C1960" s="2">
        <v>298</v>
      </c>
      <c r="D1960" s="2">
        <v>88</v>
      </c>
      <c r="F1960" s="2">
        <v>2</v>
      </c>
      <c r="G1960" s="2">
        <v>2</v>
      </c>
      <c r="H1960" s="2">
        <v>4</v>
      </c>
      <c r="I1960" s="2">
        <v>0</v>
      </c>
      <c r="J1960" t="str">
        <f>_xlfn.XLOOKUP(Table2[[#This Row],[Customer_ID]],Table1[Customer_ID],Table1[Customer_Name])</f>
        <v>Marlene Daniell</v>
      </c>
    </row>
    <row r="1961" spans="1:10" x14ac:dyDescent="0.35">
      <c r="A1961" s="4">
        <v>41007</v>
      </c>
      <c r="B1961" s="2">
        <v>10935</v>
      </c>
      <c r="C1961" s="2">
        <v>400</v>
      </c>
      <c r="D1961" s="2">
        <v>88</v>
      </c>
      <c r="F1961" s="2">
        <v>2</v>
      </c>
      <c r="G1961" s="2">
        <v>2</v>
      </c>
      <c r="H1961" s="2">
        <v>15</v>
      </c>
      <c r="I1961" s="2">
        <v>0</v>
      </c>
      <c r="J1961" t="str">
        <f>_xlfn.XLOOKUP(Table2[[#This Row],[Customer_ID]],Table1[Customer_ID],Table1[Customer_Name])</f>
        <v>Marlene Daniell</v>
      </c>
    </row>
    <row r="1962" spans="1:10" x14ac:dyDescent="0.35">
      <c r="A1962" s="4">
        <v>41007</v>
      </c>
      <c r="B1962" s="2">
        <v>10935</v>
      </c>
      <c r="C1962" s="2">
        <v>266</v>
      </c>
      <c r="D1962" s="2">
        <v>88</v>
      </c>
      <c r="F1962" s="2">
        <v>2</v>
      </c>
      <c r="G1962" s="2">
        <v>8</v>
      </c>
      <c r="H1962" s="2">
        <v>14</v>
      </c>
      <c r="I1962" s="2">
        <v>0</v>
      </c>
      <c r="J1962" t="str">
        <f>_xlfn.XLOOKUP(Table2[[#This Row],[Customer_ID]],Table1[Customer_ID],Table1[Customer_Name])</f>
        <v>Marlene Daniell</v>
      </c>
    </row>
    <row r="1963" spans="1:10" x14ac:dyDescent="0.35">
      <c r="A1963" s="4">
        <v>41008</v>
      </c>
      <c r="B1963" s="2">
        <v>10939</v>
      </c>
      <c r="C1963" s="2">
        <v>359</v>
      </c>
      <c r="D1963" s="2">
        <v>92</v>
      </c>
      <c r="F1963" s="2">
        <v>2</v>
      </c>
      <c r="G1963" s="2">
        <v>5</v>
      </c>
      <c r="H1963" s="2">
        <v>90</v>
      </c>
      <c r="I1963" s="2">
        <v>0</v>
      </c>
      <c r="J1963" t="str">
        <f>_xlfn.XLOOKUP(Table2[[#This Row],[Customer_ID]],Table1[Customer_ID],Table1[Customer_Name])</f>
        <v>Mercedes Godin</v>
      </c>
    </row>
    <row r="1964" spans="1:10" x14ac:dyDescent="0.35">
      <c r="A1964" s="4">
        <v>41008</v>
      </c>
      <c r="B1964" s="2">
        <v>10937</v>
      </c>
      <c r="C1964" s="2">
        <v>75</v>
      </c>
      <c r="D1964" s="2">
        <v>90</v>
      </c>
      <c r="F1964" s="2">
        <v>2</v>
      </c>
      <c r="G1964" s="2">
        <v>5</v>
      </c>
      <c r="H1964" s="2">
        <v>12</v>
      </c>
      <c r="I1964" s="2">
        <v>0</v>
      </c>
      <c r="J1964" t="str">
        <f>_xlfn.XLOOKUP(Table2[[#This Row],[Customer_ID]],Table1[Customer_ID],Table1[Customer_Name])</f>
        <v>Maxwell Wengert</v>
      </c>
    </row>
    <row r="1965" spans="1:10" x14ac:dyDescent="0.35">
      <c r="A1965" s="4">
        <v>41008</v>
      </c>
      <c r="B1965" s="2">
        <v>10937</v>
      </c>
      <c r="C1965" s="2">
        <v>283</v>
      </c>
      <c r="D1965" s="2">
        <v>90</v>
      </c>
      <c r="F1965" s="2">
        <v>2</v>
      </c>
      <c r="G1965" s="2">
        <v>1</v>
      </c>
      <c r="H1965" s="2">
        <v>6</v>
      </c>
      <c r="I1965" s="2">
        <v>0</v>
      </c>
      <c r="J1965" t="str">
        <f>_xlfn.XLOOKUP(Table2[[#This Row],[Customer_ID]],Table1[Customer_ID],Table1[Customer_Name])</f>
        <v>Maxwell Wengert</v>
      </c>
    </row>
    <row r="1966" spans="1:10" x14ac:dyDescent="0.35">
      <c r="A1966" s="4">
        <v>41008</v>
      </c>
      <c r="B1966" s="2">
        <v>10939</v>
      </c>
      <c r="C1966" s="2">
        <v>357</v>
      </c>
      <c r="D1966" s="2">
        <v>92</v>
      </c>
      <c r="F1966" s="2">
        <v>2</v>
      </c>
      <c r="G1966" s="2">
        <v>2</v>
      </c>
      <c r="H1966" s="2">
        <v>33</v>
      </c>
      <c r="I1966" s="2">
        <v>0</v>
      </c>
      <c r="J1966" t="str">
        <f>_xlfn.XLOOKUP(Table2[[#This Row],[Customer_ID]],Table1[Customer_ID],Table1[Customer_Name])</f>
        <v>Mercedes Godin</v>
      </c>
    </row>
    <row r="1967" spans="1:10" x14ac:dyDescent="0.35">
      <c r="A1967" s="4">
        <v>41009</v>
      </c>
      <c r="B1967" s="2">
        <v>10941</v>
      </c>
      <c r="C1967" s="2">
        <v>344</v>
      </c>
      <c r="D1967" s="2">
        <v>94</v>
      </c>
      <c r="F1967" s="2">
        <v>2</v>
      </c>
      <c r="G1967" s="2">
        <v>8</v>
      </c>
      <c r="H1967" s="2">
        <v>4</v>
      </c>
      <c r="I1967" s="2">
        <v>0</v>
      </c>
      <c r="J1967" t="str">
        <f>_xlfn.XLOOKUP(Table2[[#This Row],[Customer_ID]],Table1[Customer_ID],Table1[Customer_Name])</f>
        <v>Michelina Manners</v>
      </c>
    </row>
    <row r="1968" spans="1:10" x14ac:dyDescent="0.35">
      <c r="A1968" s="4">
        <v>41009</v>
      </c>
      <c r="B1968" s="2">
        <v>10941</v>
      </c>
      <c r="C1968" s="2">
        <v>311</v>
      </c>
      <c r="D1968" s="2">
        <v>94</v>
      </c>
      <c r="F1968" s="2">
        <v>2</v>
      </c>
      <c r="G1968" s="2">
        <v>3</v>
      </c>
      <c r="H1968" s="2">
        <v>6</v>
      </c>
      <c r="I1968" s="2">
        <v>0</v>
      </c>
      <c r="J1968" t="str">
        <f>_xlfn.XLOOKUP(Table2[[#This Row],[Customer_ID]],Table1[Customer_ID],Table1[Customer_Name])</f>
        <v>Michelina Manners</v>
      </c>
    </row>
    <row r="1969" spans="1:10" x14ac:dyDescent="0.35">
      <c r="A1969" s="4">
        <v>41009</v>
      </c>
      <c r="B1969" s="2">
        <v>10943</v>
      </c>
      <c r="C1969" s="2">
        <v>245</v>
      </c>
      <c r="D1969" s="2">
        <v>96</v>
      </c>
      <c r="F1969" s="2">
        <v>2</v>
      </c>
      <c r="G1969" s="2">
        <v>3</v>
      </c>
      <c r="H1969" s="2">
        <v>2</v>
      </c>
      <c r="I1969" s="2">
        <v>0</v>
      </c>
      <c r="J1969" t="str">
        <f>_xlfn.XLOOKUP(Table2[[#This Row],[Customer_ID]],Table1[Customer_ID],Table1[Customer_Name])</f>
        <v>Miss Henslee</v>
      </c>
    </row>
    <row r="1970" spans="1:10" x14ac:dyDescent="0.35">
      <c r="A1970" s="4">
        <v>41009</v>
      </c>
      <c r="B1970" s="2">
        <v>10941</v>
      </c>
      <c r="C1970" s="2">
        <v>216</v>
      </c>
      <c r="D1970" s="2">
        <v>94</v>
      </c>
      <c r="F1970" s="2">
        <v>2</v>
      </c>
      <c r="G1970" s="2">
        <v>3</v>
      </c>
      <c r="H1970" s="2">
        <v>4</v>
      </c>
      <c r="I1970" s="2">
        <v>0</v>
      </c>
      <c r="J1970" t="str">
        <f>_xlfn.XLOOKUP(Table2[[#This Row],[Customer_ID]],Table1[Customer_ID],Table1[Customer_Name])</f>
        <v>Michelina Manners</v>
      </c>
    </row>
    <row r="1971" spans="1:10" x14ac:dyDescent="0.35">
      <c r="A1971" s="4">
        <v>41009</v>
      </c>
      <c r="B1971" s="2">
        <v>10941</v>
      </c>
      <c r="C1971" s="2">
        <v>341</v>
      </c>
      <c r="D1971" s="2">
        <v>94</v>
      </c>
      <c r="F1971" s="2">
        <v>2</v>
      </c>
      <c r="G1971" s="2">
        <v>6</v>
      </c>
      <c r="H1971" s="2">
        <v>3</v>
      </c>
      <c r="I1971" s="2">
        <v>0</v>
      </c>
      <c r="J1971" t="str">
        <f>_xlfn.XLOOKUP(Table2[[#This Row],[Customer_ID]],Table1[Customer_ID],Table1[Customer_Name])</f>
        <v>Michelina Manners</v>
      </c>
    </row>
    <row r="1972" spans="1:10" x14ac:dyDescent="0.35">
      <c r="A1972" s="4">
        <v>41009</v>
      </c>
      <c r="B1972" s="2">
        <v>10943</v>
      </c>
      <c r="C1972" s="2">
        <v>340</v>
      </c>
      <c r="D1972" s="2">
        <v>96</v>
      </c>
      <c r="F1972" s="2">
        <v>2</v>
      </c>
      <c r="G1972" s="2">
        <v>1</v>
      </c>
      <c r="H1972" s="2">
        <v>2</v>
      </c>
      <c r="I1972" s="2">
        <v>0</v>
      </c>
      <c r="J1972" t="str">
        <f>_xlfn.XLOOKUP(Table2[[#This Row],[Customer_ID]],Table1[Customer_ID],Table1[Customer_Name])</f>
        <v>Miss Henslee</v>
      </c>
    </row>
    <row r="1973" spans="1:10" x14ac:dyDescent="0.35">
      <c r="A1973" s="4">
        <v>41009</v>
      </c>
      <c r="B1973" s="2">
        <v>10943</v>
      </c>
      <c r="C1973" s="2">
        <v>312</v>
      </c>
      <c r="D1973" s="2">
        <v>96</v>
      </c>
      <c r="F1973" s="2">
        <v>2</v>
      </c>
      <c r="G1973" s="2">
        <v>3</v>
      </c>
      <c r="H1973" s="2">
        <v>9</v>
      </c>
      <c r="I1973" s="2">
        <v>0</v>
      </c>
      <c r="J1973" t="str">
        <f>_xlfn.XLOOKUP(Table2[[#This Row],[Customer_ID]],Table1[Customer_ID],Table1[Customer_Name])</f>
        <v>Miss Henslee</v>
      </c>
    </row>
    <row r="1974" spans="1:10" x14ac:dyDescent="0.35">
      <c r="A1974" s="4">
        <v>41010</v>
      </c>
      <c r="B1974" s="2">
        <v>10945</v>
      </c>
      <c r="C1974" s="2">
        <v>372</v>
      </c>
      <c r="D1974" s="2">
        <v>98</v>
      </c>
      <c r="F1974" s="2">
        <v>2</v>
      </c>
      <c r="G1974" s="2">
        <v>4</v>
      </c>
      <c r="H1974" s="2">
        <v>9</v>
      </c>
      <c r="I1974" s="2">
        <v>0</v>
      </c>
      <c r="J1974" t="str">
        <f>_xlfn.XLOOKUP(Table2[[#This Row],[Customer_ID]],Table1[Customer_ID],Table1[Customer_Name])</f>
        <v>Myesha Mumm</v>
      </c>
    </row>
    <row r="1975" spans="1:10" x14ac:dyDescent="0.35">
      <c r="A1975" s="4">
        <v>41010</v>
      </c>
      <c r="B1975" s="2">
        <v>10945</v>
      </c>
      <c r="C1975" s="2">
        <v>219</v>
      </c>
      <c r="D1975" s="2">
        <v>98</v>
      </c>
      <c r="F1975" s="2">
        <v>2</v>
      </c>
      <c r="G1975" s="2">
        <v>7</v>
      </c>
      <c r="H1975" s="2">
        <v>5</v>
      </c>
      <c r="I1975" s="2">
        <v>0</v>
      </c>
      <c r="J1975" t="str">
        <f>_xlfn.XLOOKUP(Table2[[#This Row],[Customer_ID]],Table1[Customer_ID],Table1[Customer_Name])</f>
        <v>Myesha Mumm</v>
      </c>
    </row>
    <row r="1976" spans="1:10" x14ac:dyDescent="0.35">
      <c r="A1976" s="4">
        <v>41011</v>
      </c>
      <c r="B1976" s="2">
        <v>10949</v>
      </c>
      <c r="C1976" s="2">
        <v>444</v>
      </c>
      <c r="D1976" s="2">
        <v>2</v>
      </c>
      <c r="E1976" s="2">
        <v>20</v>
      </c>
      <c r="F1976" s="2">
        <v>2</v>
      </c>
      <c r="G1976" s="2">
        <v>2</v>
      </c>
      <c r="H1976" s="2">
        <v>35</v>
      </c>
      <c r="I1976" s="2">
        <v>0</v>
      </c>
      <c r="J1976" t="str">
        <f>_xlfn.XLOOKUP(Table2[[#This Row],[Customer_ID]],Table1[Customer_ID],Table1[Customer_Name])</f>
        <v>Alaine Kindig</v>
      </c>
    </row>
    <row r="1977" spans="1:10" x14ac:dyDescent="0.35">
      <c r="A1977" s="4">
        <v>41011</v>
      </c>
      <c r="B1977" s="2">
        <v>10949</v>
      </c>
      <c r="C1977" s="2">
        <v>453</v>
      </c>
      <c r="D1977" s="2">
        <v>2</v>
      </c>
      <c r="E1977" s="2">
        <v>20</v>
      </c>
      <c r="F1977" s="2">
        <v>2</v>
      </c>
      <c r="G1977" s="2">
        <v>5</v>
      </c>
      <c r="H1977" s="2">
        <v>19</v>
      </c>
      <c r="I1977" s="2">
        <v>0</v>
      </c>
      <c r="J1977" t="str">
        <f>_xlfn.XLOOKUP(Table2[[#This Row],[Customer_ID]],Table1[Customer_ID],Table1[Customer_Name])</f>
        <v>Alaine Kindig</v>
      </c>
    </row>
    <row r="1978" spans="1:10" x14ac:dyDescent="0.35">
      <c r="A1978" s="4">
        <v>41011</v>
      </c>
      <c r="B1978" s="2">
        <v>10949</v>
      </c>
      <c r="C1978" s="2">
        <v>441</v>
      </c>
      <c r="D1978" s="2">
        <v>2</v>
      </c>
      <c r="E1978" s="2">
        <v>20</v>
      </c>
      <c r="F1978" s="2">
        <v>2</v>
      </c>
      <c r="G1978" s="2">
        <v>5</v>
      </c>
      <c r="H1978" s="2">
        <v>29</v>
      </c>
      <c r="I1978" s="2">
        <v>0</v>
      </c>
      <c r="J1978" t="str">
        <f>_xlfn.XLOOKUP(Table2[[#This Row],[Customer_ID]],Table1[Customer_ID],Table1[Customer_Name])</f>
        <v>Alaine Kindig</v>
      </c>
    </row>
    <row r="1979" spans="1:10" x14ac:dyDescent="0.35">
      <c r="A1979" s="4">
        <v>41011</v>
      </c>
      <c r="B1979" s="2">
        <v>10949</v>
      </c>
      <c r="C1979" s="2">
        <v>451</v>
      </c>
      <c r="D1979" s="2">
        <v>2</v>
      </c>
      <c r="E1979" s="2">
        <v>20</v>
      </c>
      <c r="F1979" s="2">
        <v>2</v>
      </c>
      <c r="G1979" s="2">
        <v>9</v>
      </c>
      <c r="H1979" s="2">
        <v>19</v>
      </c>
      <c r="I1979" s="2">
        <v>0</v>
      </c>
      <c r="J1979" t="str">
        <f>_xlfn.XLOOKUP(Table2[[#This Row],[Customer_ID]],Table1[Customer_ID],Table1[Customer_Name])</f>
        <v>Alaine Kindig</v>
      </c>
    </row>
    <row r="1980" spans="1:10" x14ac:dyDescent="0.35">
      <c r="A1980" s="4">
        <v>41011</v>
      </c>
      <c r="B1980" s="2">
        <v>10947</v>
      </c>
      <c r="C1980" s="2">
        <v>389</v>
      </c>
      <c r="D1980" s="2">
        <v>100</v>
      </c>
      <c r="F1980" s="2">
        <v>2</v>
      </c>
      <c r="G1980" s="2">
        <v>2</v>
      </c>
      <c r="H1980" s="2">
        <v>8</v>
      </c>
      <c r="I1980" s="2">
        <v>0</v>
      </c>
      <c r="J1980" t="str">
        <f>_xlfn.XLOOKUP(Table2[[#This Row],[Customer_ID]],Table1[Customer_ID],Table1[Customer_Name])</f>
        <v>Natividad Grandberry</v>
      </c>
    </row>
    <row r="1981" spans="1:10" x14ac:dyDescent="0.35">
      <c r="A1981" s="4">
        <v>41014</v>
      </c>
      <c r="B1981" s="2">
        <v>10951</v>
      </c>
      <c r="C1981" s="2">
        <v>446</v>
      </c>
      <c r="D1981" s="2">
        <v>4</v>
      </c>
      <c r="E1981" s="2">
        <v>70</v>
      </c>
      <c r="F1981" s="2">
        <v>2</v>
      </c>
      <c r="G1981" s="2">
        <v>2</v>
      </c>
      <c r="H1981" s="2">
        <v>40</v>
      </c>
      <c r="I1981" s="2">
        <v>0</v>
      </c>
      <c r="J1981" t="str">
        <f>_xlfn.XLOOKUP(Table2[[#This Row],[Customer_ID]],Table1[Customer_ID],Table1[Customer_Name])</f>
        <v>Andreas Armour</v>
      </c>
    </row>
    <row r="1982" spans="1:10" x14ac:dyDescent="0.35">
      <c r="A1982" s="4">
        <v>41014</v>
      </c>
      <c r="B1982" s="2">
        <v>10951</v>
      </c>
      <c r="C1982" s="2">
        <v>432</v>
      </c>
      <c r="D1982" s="2">
        <v>4</v>
      </c>
      <c r="E1982" s="2">
        <v>70</v>
      </c>
      <c r="F1982" s="2">
        <v>2</v>
      </c>
      <c r="G1982" s="2">
        <v>5</v>
      </c>
      <c r="H1982" s="2">
        <v>50</v>
      </c>
      <c r="I1982" s="2">
        <v>0</v>
      </c>
      <c r="J1982" t="str">
        <f>_xlfn.XLOOKUP(Table2[[#This Row],[Customer_ID]],Table1[Customer_ID],Table1[Customer_Name])</f>
        <v>Andreas Armour</v>
      </c>
    </row>
    <row r="1983" spans="1:10" x14ac:dyDescent="0.35">
      <c r="A1983" s="4">
        <v>41014</v>
      </c>
      <c r="B1983" s="2">
        <v>10951</v>
      </c>
      <c r="C1983" s="2">
        <v>457</v>
      </c>
      <c r="D1983" s="2">
        <v>4</v>
      </c>
      <c r="E1983" s="2">
        <v>70</v>
      </c>
      <c r="F1983" s="2">
        <v>2</v>
      </c>
      <c r="G1983" s="2">
        <v>1</v>
      </c>
      <c r="H1983" s="2">
        <v>19</v>
      </c>
      <c r="I1983" s="2">
        <v>0</v>
      </c>
      <c r="J1983" t="str">
        <f>_xlfn.XLOOKUP(Table2[[#This Row],[Customer_ID]],Table1[Customer_ID],Table1[Customer_Name])</f>
        <v>Andreas Armour</v>
      </c>
    </row>
    <row r="1984" spans="1:10" x14ac:dyDescent="0.35">
      <c r="A1984" s="4">
        <v>41014</v>
      </c>
      <c r="B1984" s="2">
        <v>10953</v>
      </c>
      <c r="C1984" s="2">
        <v>38</v>
      </c>
      <c r="D1984" s="2">
        <v>6</v>
      </c>
      <c r="E1984" s="2">
        <v>53</v>
      </c>
      <c r="F1984" s="2">
        <v>2</v>
      </c>
      <c r="G1984" s="2">
        <v>3</v>
      </c>
      <c r="H1984" s="2">
        <v>8</v>
      </c>
      <c r="I1984" s="2">
        <v>0</v>
      </c>
      <c r="J1984" t="str">
        <f>_xlfn.XLOOKUP(Table2[[#This Row],[Customer_ID]],Table1[Customer_ID],Table1[Customer_Name])</f>
        <v>Anjelica Usrey</v>
      </c>
    </row>
    <row r="1985" spans="1:10" x14ac:dyDescent="0.35">
      <c r="A1985" s="4">
        <v>41014</v>
      </c>
      <c r="B1985" s="2">
        <v>10953</v>
      </c>
      <c r="C1985" s="2">
        <v>327</v>
      </c>
      <c r="D1985" s="2">
        <v>6</v>
      </c>
      <c r="E1985" s="2">
        <v>53</v>
      </c>
      <c r="F1985" s="2">
        <v>2</v>
      </c>
      <c r="G1985" s="2">
        <v>3</v>
      </c>
      <c r="H1985" s="2">
        <v>78</v>
      </c>
      <c r="I1985" s="2">
        <v>0</v>
      </c>
      <c r="J1985" t="str">
        <f>_xlfn.XLOOKUP(Table2[[#This Row],[Customer_ID]],Table1[Customer_ID],Table1[Customer_Name])</f>
        <v>Anjelica Usrey</v>
      </c>
    </row>
    <row r="1986" spans="1:10" x14ac:dyDescent="0.35">
      <c r="A1986" s="4">
        <v>41015</v>
      </c>
      <c r="B1986" s="2">
        <v>10955</v>
      </c>
      <c r="C1986" s="2">
        <v>413</v>
      </c>
      <c r="D1986" s="2">
        <v>8</v>
      </c>
      <c r="E1986" s="2">
        <v>60</v>
      </c>
      <c r="F1986" s="2">
        <v>2</v>
      </c>
      <c r="G1986" s="2">
        <v>1</v>
      </c>
      <c r="H1986" s="2">
        <v>20</v>
      </c>
      <c r="I1986" s="2">
        <v>0</v>
      </c>
      <c r="J1986" t="str">
        <f>_xlfn.XLOOKUP(Table2[[#This Row],[Customer_ID]],Table1[Customer_ID],Table1[Customer_Name])</f>
        <v>Ashley Ables</v>
      </c>
    </row>
    <row r="1987" spans="1:10" x14ac:dyDescent="0.35">
      <c r="A1987" s="4">
        <v>41016</v>
      </c>
      <c r="B1987" s="2">
        <v>10957</v>
      </c>
      <c r="C1987" s="2">
        <v>399</v>
      </c>
      <c r="D1987" s="2">
        <v>10</v>
      </c>
      <c r="E1987" s="2">
        <v>21</v>
      </c>
      <c r="F1987" s="2">
        <v>2</v>
      </c>
      <c r="G1987" s="2">
        <v>7</v>
      </c>
      <c r="H1987" s="2">
        <v>8</v>
      </c>
      <c r="I1987" s="2">
        <v>0</v>
      </c>
      <c r="J1987" t="str">
        <f>_xlfn.XLOOKUP(Table2[[#This Row],[Customer_ID]],Table1[Customer_ID],Table1[Customer_Name])</f>
        <v>Berniece Blakely</v>
      </c>
    </row>
    <row r="1988" spans="1:10" x14ac:dyDescent="0.35">
      <c r="A1988" s="4">
        <v>41016</v>
      </c>
      <c r="B1988" s="2">
        <v>10957</v>
      </c>
      <c r="C1988" s="2">
        <v>391</v>
      </c>
      <c r="D1988" s="2">
        <v>10</v>
      </c>
      <c r="E1988" s="2">
        <v>21</v>
      </c>
      <c r="F1988" s="2">
        <v>2</v>
      </c>
      <c r="G1988" s="2">
        <v>1</v>
      </c>
      <c r="H1988" s="2">
        <v>8</v>
      </c>
      <c r="I1988" s="2">
        <v>0</v>
      </c>
      <c r="J1988" t="str">
        <f>_xlfn.XLOOKUP(Table2[[#This Row],[Customer_ID]],Table1[Customer_ID],Table1[Customer_Name])</f>
        <v>Berniece Blakely</v>
      </c>
    </row>
    <row r="1989" spans="1:10" x14ac:dyDescent="0.35">
      <c r="A1989" s="4">
        <v>41016</v>
      </c>
      <c r="B1989" s="2">
        <v>10959</v>
      </c>
      <c r="C1989" s="2">
        <v>350</v>
      </c>
      <c r="D1989" s="2">
        <v>12</v>
      </c>
      <c r="E1989" s="2">
        <v>63</v>
      </c>
      <c r="F1989" s="2">
        <v>2</v>
      </c>
      <c r="G1989" s="2">
        <v>1</v>
      </c>
      <c r="H1989" s="2">
        <v>59</v>
      </c>
      <c r="I1989" s="2">
        <v>0</v>
      </c>
      <c r="J1989" t="str">
        <f>_xlfn.XLOOKUP(Table2[[#This Row],[Customer_ID]],Table1[Customer_ID],Table1[Customer_Name])</f>
        <v>Brittney Edmond</v>
      </c>
    </row>
    <row r="1990" spans="1:10" x14ac:dyDescent="0.35">
      <c r="A1990" s="4">
        <v>41016</v>
      </c>
      <c r="B1990" s="2">
        <v>10957</v>
      </c>
      <c r="C1990" s="2">
        <v>393</v>
      </c>
      <c r="D1990" s="2">
        <v>10</v>
      </c>
      <c r="E1990" s="2">
        <v>21</v>
      </c>
      <c r="F1990" s="2">
        <v>2</v>
      </c>
      <c r="G1990" s="2">
        <v>2</v>
      </c>
      <c r="H1990" s="2">
        <v>10</v>
      </c>
      <c r="I1990" s="2">
        <v>0</v>
      </c>
      <c r="J1990" t="str">
        <f>_xlfn.XLOOKUP(Table2[[#This Row],[Customer_ID]],Table1[Customer_ID],Table1[Customer_Name])</f>
        <v>Berniece Blakely</v>
      </c>
    </row>
    <row r="1991" spans="1:10" x14ac:dyDescent="0.35">
      <c r="A1991" s="4">
        <v>41017</v>
      </c>
      <c r="B1991" s="2">
        <v>10963</v>
      </c>
      <c r="C1991" s="2">
        <v>119</v>
      </c>
      <c r="D1991" s="2">
        <v>16</v>
      </c>
      <c r="E1991" s="2">
        <v>37</v>
      </c>
      <c r="F1991" s="2">
        <v>2</v>
      </c>
      <c r="G1991" s="2">
        <v>3</v>
      </c>
      <c r="H1991" s="2">
        <v>1302</v>
      </c>
      <c r="I1991" s="2">
        <v>0</v>
      </c>
      <c r="J1991" t="str">
        <f>_xlfn.XLOOKUP(Table2[[#This Row],[Customer_ID]],Table1[Customer_ID],Table1[Customer_Name])</f>
        <v>Casandra Flewelling</v>
      </c>
    </row>
    <row r="1992" spans="1:10" x14ac:dyDescent="0.35">
      <c r="A1992" s="4">
        <v>41017</v>
      </c>
      <c r="B1992" s="2">
        <v>10961</v>
      </c>
      <c r="C1992" s="2">
        <v>186</v>
      </c>
      <c r="D1992" s="2">
        <v>14</v>
      </c>
      <c r="E1992" s="2">
        <v>34</v>
      </c>
      <c r="F1992" s="2">
        <v>2</v>
      </c>
      <c r="G1992" s="2">
        <v>5</v>
      </c>
      <c r="H1992" s="2">
        <v>548</v>
      </c>
      <c r="I1992" s="2">
        <v>0</v>
      </c>
      <c r="J1992" t="str">
        <f>_xlfn.XLOOKUP(Table2[[#This Row],[Customer_ID]],Table1[Customer_ID],Table1[Customer_Name])</f>
        <v>Cari Craw</v>
      </c>
    </row>
    <row r="1993" spans="1:10" x14ac:dyDescent="0.35">
      <c r="A1993" s="4">
        <v>41017</v>
      </c>
      <c r="B1993" s="2">
        <v>10961</v>
      </c>
      <c r="C1993" s="2">
        <v>185</v>
      </c>
      <c r="D1993" s="2">
        <v>14</v>
      </c>
      <c r="E1993" s="2">
        <v>34</v>
      </c>
      <c r="F1993" s="2">
        <v>2</v>
      </c>
      <c r="G1993" s="2">
        <v>8</v>
      </c>
      <c r="H1993" s="2">
        <v>505</v>
      </c>
      <c r="I1993" s="2">
        <v>0</v>
      </c>
      <c r="J1993" t="str">
        <f>_xlfn.XLOOKUP(Table2[[#This Row],[Customer_ID]],Table1[Customer_ID],Table1[Customer_Name])</f>
        <v>Cari Craw</v>
      </c>
    </row>
    <row r="1994" spans="1:10" x14ac:dyDescent="0.35">
      <c r="A1994" s="4">
        <v>41018</v>
      </c>
      <c r="B1994" s="2">
        <v>10965</v>
      </c>
      <c r="C1994" s="2">
        <v>116</v>
      </c>
      <c r="D1994" s="2">
        <v>18</v>
      </c>
      <c r="E1994" s="2">
        <v>40</v>
      </c>
      <c r="F1994" s="2">
        <v>2</v>
      </c>
      <c r="G1994" s="2">
        <v>15</v>
      </c>
      <c r="H1994" s="2">
        <v>1825</v>
      </c>
      <c r="I1994" s="2">
        <v>0</v>
      </c>
      <c r="J1994" t="str">
        <f>_xlfn.XLOOKUP(Table2[[#This Row],[Customer_ID]],Table1[Customer_ID],Table1[Customer_Name])</f>
        <v>Cecilia Crossman</v>
      </c>
    </row>
    <row r="1995" spans="1:10" x14ac:dyDescent="0.35">
      <c r="A1995" s="4">
        <v>41021</v>
      </c>
      <c r="B1995" s="2">
        <v>10969</v>
      </c>
      <c r="C1995" s="2">
        <v>250</v>
      </c>
      <c r="D1995" s="2">
        <v>22</v>
      </c>
      <c r="E1995" s="2">
        <v>49</v>
      </c>
      <c r="F1995" s="2">
        <v>2</v>
      </c>
      <c r="G1995" s="2">
        <v>5</v>
      </c>
      <c r="H1995" s="2">
        <v>35</v>
      </c>
      <c r="I1995" s="2">
        <v>0</v>
      </c>
      <c r="J1995" t="str">
        <f>_xlfn.XLOOKUP(Table2[[#This Row],[Customer_ID]],Table1[Customer_ID],Table1[Customer_Name])</f>
        <v>Colleen Coplin</v>
      </c>
    </row>
    <row r="1996" spans="1:10" x14ac:dyDescent="0.35">
      <c r="A1996" s="4">
        <v>41021</v>
      </c>
      <c r="B1996" s="2">
        <v>10967</v>
      </c>
      <c r="C1996" s="2">
        <v>200</v>
      </c>
      <c r="D1996" s="2">
        <v>20</v>
      </c>
      <c r="E1996" s="2">
        <v>43</v>
      </c>
      <c r="F1996" s="2">
        <v>2</v>
      </c>
      <c r="G1996" s="2">
        <v>9</v>
      </c>
      <c r="H1996" s="2">
        <v>4</v>
      </c>
      <c r="I1996" s="2">
        <v>0</v>
      </c>
      <c r="J1996" t="str">
        <f>_xlfn.XLOOKUP(Table2[[#This Row],[Customer_ID]],Table1[Customer_ID],Table1[Customer_Name])</f>
        <v>Chelsey Powers</v>
      </c>
    </row>
    <row r="1997" spans="1:10" x14ac:dyDescent="0.35">
      <c r="A1997" s="4">
        <v>41021</v>
      </c>
      <c r="B1997" s="2">
        <v>10967</v>
      </c>
      <c r="C1997" s="2">
        <v>202</v>
      </c>
      <c r="D1997" s="2">
        <v>20</v>
      </c>
      <c r="E1997" s="2">
        <v>43</v>
      </c>
      <c r="F1997" s="2">
        <v>2</v>
      </c>
      <c r="G1997" s="2">
        <v>1</v>
      </c>
      <c r="H1997" s="2">
        <v>4</v>
      </c>
      <c r="I1997" s="2">
        <v>0</v>
      </c>
      <c r="J1997" t="str">
        <f>_xlfn.XLOOKUP(Table2[[#This Row],[Customer_ID]],Table1[Customer_ID],Table1[Customer_Name])</f>
        <v>Chelsey Powers</v>
      </c>
    </row>
    <row r="1998" spans="1:10" x14ac:dyDescent="0.35">
      <c r="A1998" s="4">
        <v>41022</v>
      </c>
      <c r="B1998" s="2">
        <v>10971</v>
      </c>
      <c r="C1998" s="2">
        <v>401</v>
      </c>
      <c r="D1998" s="2">
        <v>24</v>
      </c>
      <c r="E1998" s="2">
        <v>59</v>
      </c>
      <c r="F1998" s="2">
        <v>2</v>
      </c>
      <c r="G1998" s="2">
        <v>8</v>
      </c>
      <c r="H1998" s="2">
        <v>13</v>
      </c>
      <c r="I1998" s="2">
        <v>0</v>
      </c>
      <c r="J1998" t="str">
        <f>_xlfn.XLOOKUP(Table2[[#This Row],[Customer_ID]],Table1[Customer_ID],Table1[Customer_Name])</f>
        <v>Corrinne Cataldo</v>
      </c>
    </row>
    <row r="1999" spans="1:10" x14ac:dyDescent="0.35">
      <c r="A1999" s="4">
        <v>41022</v>
      </c>
      <c r="B1999" s="2">
        <v>10973</v>
      </c>
      <c r="C1999" s="2">
        <v>323</v>
      </c>
      <c r="D1999" s="2">
        <v>26</v>
      </c>
      <c r="E1999" s="2">
        <v>94</v>
      </c>
      <c r="F1999" s="2">
        <v>2</v>
      </c>
      <c r="G1999" s="2">
        <v>6</v>
      </c>
      <c r="H1999" s="2">
        <v>7</v>
      </c>
      <c r="I1999" s="2">
        <v>0</v>
      </c>
      <c r="J1999" t="str">
        <f>_xlfn.XLOOKUP(Table2[[#This Row],[Customer_ID]],Table1[Customer_ID],Table1[Customer_Name])</f>
        <v>Cyndy Collie</v>
      </c>
    </row>
    <row r="2000" spans="1:10" x14ac:dyDescent="0.35">
      <c r="A2000" s="4">
        <v>41022</v>
      </c>
      <c r="B2000" s="2">
        <v>10973</v>
      </c>
      <c r="C2000" s="2">
        <v>44</v>
      </c>
      <c r="D2000" s="2">
        <v>26</v>
      </c>
      <c r="E2000" s="2">
        <v>94</v>
      </c>
      <c r="F2000" s="2">
        <v>2</v>
      </c>
      <c r="G2000" s="2">
        <v>3</v>
      </c>
      <c r="H2000" s="2">
        <v>14</v>
      </c>
      <c r="I2000" s="2">
        <v>0</v>
      </c>
      <c r="J2000" t="str">
        <f>_xlfn.XLOOKUP(Table2[[#This Row],[Customer_ID]],Table1[Customer_ID],Table1[Customer_Name])</f>
        <v>Cyndy Collie</v>
      </c>
    </row>
    <row r="2001" spans="1:10" x14ac:dyDescent="0.35">
      <c r="A2001" s="4">
        <v>41022</v>
      </c>
      <c r="B2001" s="2">
        <v>10973</v>
      </c>
      <c r="C2001" s="2">
        <v>37</v>
      </c>
      <c r="D2001" s="2">
        <v>26</v>
      </c>
      <c r="E2001" s="2">
        <v>94</v>
      </c>
      <c r="F2001" s="2">
        <v>2</v>
      </c>
      <c r="G2001" s="2">
        <v>5</v>
      </c>
      <c r="H2001" s="2">
        <v>11</v>
      </c>
      <c r="I2001" s="2">
        <v>0</v>
      </c>
      <c r="J2001" t="str">
        <f>_xlfn.XLOOKUP(Table2[[#This Row],[Customer_ID]],Table1[Customer_ID],Table1[Customer_Name])</f>
        <v>Cyndy Collie</v>
      </c>
    </row>
    <row r="2002" spans="1:10" x14ac:dyDescent="0.35">
      <c r="A2002" s="4">
        <v>41023</v>
      </c>
      <c r="B2002" s="2">
        <v>10975</v>
      </c>
      <c r="C2002" s="2">
        <v>307</v>
      </c>
      <c r="D2002" s="2">
        <v>28</v>
      </c>
      <c r="E2002" s="2">
        <v>26</v>
      </c>
      <c r="F2002" s="2">
        <v>2</v>
      </c>
      <c r="G2002" s="2">
        <v>8</v>
      </c>
      <c r="H2002" s="2">
        <v>14</v>
      </c>
      <c r="I2002" s="2">
        <v>0</v>
      </c>
      <c r="J2002" t="str">
        <f>_xlfn.XLOOKUP(Table2[[#This Row],[Customer_ID]],Table1[Customer_ID],Table1[Customer_Name])</f>
        <v>Delena Hulin</v>
      </c>
    </row>
    <row r="2003" spans="1:10" x14ac:dyDescent="0.35">
      <c r="A2003" s="4">
        <v>41023</v>
      </c>
      <c r="B2003" s="2">
        <v>10975</v>
      </c>
      <c r="C2003" s="2">
        <v>394</v>
      </c>
      <c r="D2003" s="2">
        <v>28</v>
      </c>
      <c r="E2003" s="2">
        <v>26</v>
      </c>
      <c r="F2003" s="2">
        <v>2</v>
      </c>
      <c r="G2003" s="2">
        <v>3</v>
      </c>
      <c r="H2003" s="2">
        <v>10</v>
      </c>
      <c r="I2003" s="2">
        <v>0</v>
      </c>
      <c r="J2003" t="str">
        <f>_xlfn.XLOOKUP(Table2[[#This Row],[Customer_ID]],Table1[Customer_ID],Table1[Customer_Name])</f>
        <v>Delena Hulin</v>
      </c>
    </row>
    <row r="2004" spans="1:10" x14ac:dyDescent="0.35">
      <c r="A2004" s="4">
        <v>41024</v>
      </c>
      <c r="B2004" s="2">
        <v>10979</v>
      </c>
      <c r="C2004" s="2">
        <v>291</v>
      </c>
      <c r="D2004" s="2">
        <v>32</v>
      </c>
      <c r="E2004" s="2">
        <v>35</v>
      </c>
      <c r="F2004" s="2">
        <v>2</v>
      </c>
      <c r="G2004" s="2">
        <v>6</v>
      </c>
      <c r="H2004" s="2">
        <v>3</v>
      </c>
      <c r="I2004" s="2">
        <v>0</v>
      </c>
      <c r="J2004" t="str">
        <f>_xlfn.XLOOKUP(Table2[[#This Row],[Customer_ID]],Table1[Customer_ID],Table1[Customer_Name])</f>
        <v>Doretha Mcmunn</v>
      </c>
    </row>
    <row r="2005" spans="1:10" x14ac:dyDescent="0.35">
      <c r="A2005" s="4">
        <v>41024</v>
      </c>
      <c r="B2005" s="2">
        <v>10977</v>
      </c>
      <c r="C2005" s="2">
        <v>151</v>
      </c>
      <c r="D2005" s="2">
        <v>30</v>
      </c>
      <c r="E2005" s="2">
        <v>34</v>
      </c>
      <c r="F2005" s="2">
        <v>2</v>
      </c>
      <c r="G2005" s="2">
        <v>2</v>
      </c>
      <c r="H2005" s="2">
        <v>526</v>
      </c>
      <c r="I2005" s="2">
        <v>0</v>
      </c>
      <c r="J2005" t="str">
        <f>_xlfn.XLOOKUP(Table2[[#This Row],[Customer_ID]],Table1[Customer_ID],Table1[Customer_Name])</f>
        <v>Dinah Trusty</v>
      </c>
    </row>
    <row r="2006" spans="1:10" x14ac:dyDescent="0.35">
      <c r="A2006" s="4">
        <v>41024</v>
      </c>
      <c r="B2006" s="2">
        <v>10979</v>
      </c>
      <c r="C2006" s="2">
        <v>172</v>
      </c>
      <c r="D2006" s="2">
        <v>32</v>
      </c>
      <c r="E2006" s="2">
        <v>35</v>
      </c>
      <c r="F2006" s="2">
        <v>2</v>
      </c>
      <c r="G2006" s="2">
        <v>1</v>
      </c>
      <c r="H2006" s="2">
        <v>463</v>
      </c>
      <c r="I2006" s="2">
        <v>0</v>
      </c>
      <c r="J2006" t="str">
        <f>_xlfn.XLOOKUP(Table2[[#This Row],[Customer_ID]],Table1[Customer_ID],Table1[Customer_Name])</f>
        <v>Doretha Mcmunn</v>
      </c>
    </row>
    <row r="2007" spans="1:10" x14ac:dyDescent="0.35">
      <c r="A2007" s="4">
        <v>41024</v>
      </c>
      <c r="B2007" s="2">
        <v>10979</v>
      </c>
      <c r="C2007" s="2">
        <v>142</v>
      </c>
      <c r="D2007" s="2">
        <v>32</v>
      </c>
      <c r="E2007" s="2">
        <v>35</v>
      </c>
      <c r="F2007" s="2">
        <v>2</v>
      </c>
      <c r="G2007" s="2">
        <v>6</v>
      </c>
      <c r="H2007" s="2">
        <v>164</v>
      </c>
      <c r="I2007" s="2">
        <v>0</v>
      </c>
      <c r="J2007" t="str">
        <f>_xlfn.XLOOKUP(Table2[[#This Row],[Customer_ID]],Table1[Customer_ID],Table1[Customer_Name])</f>
        <v>Doretha Mcmunn</v>
      </c>
    </row>
    <row r="2008" spans="1:10" x14ac:dyDescent="0.35">
      <c r="A2008" s="4">
        <v>41024</v>
      </c>
      <c r="B2008" s="2">
        <v>10977</v>
      </c>
      <c r="C2008" s="2">
        <v>67</v>
      </c>
      <c r="D2008" s="2">
        <v>30</v>
      </c>
      <c r="E2008" s="2">
        <v>34</v>
      </c>
      <c r="F2008" s="2">
        <v>2</v>
      </c>
      <c r="G2008" s="2">
        <v>9</v>
      </c>
      <c r="H2008" s="2">
        <v>8</v>
      </c>
      <c r="I2008" s="2">
        <v>0</v>
      </c>
      <c r="J2008" t="str">
        <f>_xlfn.XLOOKUP(Table2[[#This Row],[Customer_ID]],Table1[Customer_ID],Table1[Customer_Name])</f>
        <v>Dinah Trusty</v>
      </c>
    </row>
    <row r="2009" spans="1:10" x14ac:dyDescent="0.35">
      <c r="A2009" s="4">
        <v>41024</v>
      </c>
      <c r="B2009" s="2">
        <v>10979</v>
      </c>
      <c r="C2009" s="2">
        <v>297</v>
      </c>
      <c r="D2009" s="2">
        <v>32</v>
      </c>
      <c r="E2009" s="2">
        <v>35</v>
      </c>
      <c r="F2009" s="2">
        <v>2</v>
      </c>
      <c r="G2009" s="2">
        <v>3</v>
      </c>
      <c r="H2009" s="2">
        <v>3</v>
      </c>
      <c r="I2009" s="2">
        <v>0</v>
      </c>
      <c r="J2009" t="str">
        <f>_xlfn.XLOOKUP(Table2[[#This Row],[Customer_ID]],Table1[Customer_ID],Table1[Customer_Name])</f>
        <v>Doretha Mcmunn</v>
      </c>
    </row>
    <row r="2010" spans="1:10" x14ac:dyDescent="0.35">
      <c r="A2010" s="4">
        <v>41024</v>
      </c>
      <c r="B2010" s="2">
        <v>10977</v>
      </c>
      <c r="C2010" s="2">
        <v>345</v>
      </c>
      <c r="D2010" s="2">
        <v>30</v>
      </c>
      <c r="E2010" s="2">
        <v>34</v>
      </c>
      <c r="F2010" s="2">
        <v>2</v>
      </c>
      <c r="G2010" s="2">
        <v>4</v>
      </c>
      <c r="H2010" s="2">
        <v>5</v>
      </c>
      <c r="I2010" s="2">
        <v>0</v>
      </c>
      <c r="J2010" t="str">
        <f>_xlfn.XLOOKUP(Table2[[#This Row],[Customer_ID]],Table1[Customer_ID],Table1[Customer_Name])</f>
        <v>Dinah Trusty</v>
      </c>
    </row>
    <row r="2011" spans="1:10" x14ac:dyDescent="0.35">
      <c r="A2011" s="4">
        <v>41024</v>
      </c>
      <c r="B2011" s="2">
        <v>10977</v>
      </c>
      <c r="C2011" s="2">
        <v>162</v>
      </c>
      <c r="D2011" s="2">
        <v>30</v>
      </c>
      <c r="E2011" s="2">
        <v>34</v>
      </c>
      <c r="F2011" s="2">
        <v>2</v>
      </c>
      <c r="G2011" s="2">
        <v>7</v>
      </c>
      <c r="H2011" s="2">
        <v>3992</v>
      </c>
      <c r="I2011" s="2">
        <v>0</v>
      </c>
      <c r="J2011" t="str">
        <f>_xlfn.XLOOKUP(Table2[[#This Row],[Customer_ID]],Table1[Customer_ID],Table1[Customer_Name])</f>
        <v>Dinah Trusty</v>
      </c>
    </row>
    <row r="2012" spans="1:10" x14ac:dyDescent="0.35">
      <c r="A2012" s="4">
        <v>41024</v>
      </c>
      <c r="B2012" s="2">
        <v>10979</v>
      </c>
      <c r="C2012" s="2">
        <v>137</v>
      </c>
      <c r="D2012" s="2">
        <v>32</v>
      </c>
      <c r="E2012" s="2">
        <v>35</v>
      </c>
      <c r="F2012" s="2">
        <v>2</v>
      </c>
      <c r="G2012" s="2">
        <v>3</v>
      </c>
      <c r="H2012" s="2">
        <v>68</v>
      </c>
      <c r="I2012" s="2">
        <v>0</v>
      </c>
      <c r="J2012" t="str">
        <f>_xlfn.XLOOKUP(Table2[[#This Row],[Customer_ID]],Table1[Customer_ID],Table1[Customer_Name])</f>
        <v>Doretha Mcmunn</v>
      </c>
    </row>
    <row r="2013" spans="1:10" x14ac:dyDescent="0.35">
      <c r="A2013" s="4">
        <v>41024</v>
      </c>
      <c r="B2013" s="2">
        <v>10979</v>
      </c>
      <c r="C2013" s="2">
        <v>215</v>
      </c>
      <c r="D2013" s="2">
        <v>32</v>
      </c>
      <c r="E2013" s="2">
        <v>35</v>
      </c>
      <c r="F2013" s="2">
        <v>2</v>
      </c>
      <c r="G2013" s="2">
        <v>2</v>
      </c>
      <c r="H2013" s="2">
        <v>6</v>
      </c>
      <c r="I2013" s="2">
        <v>0</v>
      </c>
      <c r="J2013" t="str">
        <f>_xlfn.XLOOKUP(Table2[[#This Row],[Customer_ID]],Table1[Customer_ID],Table1[Customer_Name])</f>
        <v>Doretha Mcmunn</v>
      </c>
    </row>
    <row r="2014" spans="1:10" x14ac:dyDescent="0.35">
      <c r="A2014" s="4">
        <v>41025</v>
      </c>
      <c r="B2014" s="2">
        <v>10983</v>
      </c>
      <c r="C2014" s="2">
        <v>369</v>
      </c>
      <c r="D2014" s="2">
        <v>36</v>
      </c>
      <c r="E2014" s="2">
        <v>54</v>
      </c>
      <c r="F2014" s="2">
        <v>2</v>
      </c>
      <c r="G2014" s="2">
        <v>4</v>
      </c>
      <c r="H2014" s="2">
        <v>6</v>
      </c>
      <c r="I2014" s="2">
        <v>0</v>
      </c>
      <c r="J2014" t="str">
        <f>_xlfn.XLOOKUP(Table2[[#This Row],[Customer_ID]],Table1[Customer_ID],Table1[Customer_Name])</f>
        <v>Earnestine Heidenreich</v>
      </c>
    </row>
    <row r="2015" spans="1:10" x14ac:dyDescent="0.35">
      <c r="A2015" s="4">
        <v>41025</v>
      </c>
      <c r="B2015" s="2">
        <v>10983</v>
      </c>
      <c r="C2015" s="2">
        <v>317</v>
      </c>
      <c r="D2015" s="2">
        <v>36</v>
      </c>
      <c r="E2015" s="2">
        <v>54</v>
      </c>
      <c r="F2015" s="2">
        <v>2</v>
      </c>
      <c r="G2015" s="2">
        <v>3</v>
      </c>
      <c r="H2015" s="2">
        <v>45</v>
      </c>
      <c r="I2015" s="2">
        <v>0</v>
      </c>
      <c r="J2015" t="str">
        <f>_xlfn.XLOOKUP(Table2[[#This Row],[Customer_ID]],Table1[Customer_ID],Table1[Customer_Name])</f>
        <v>Earnestine Heidenreich</v>
      </c>
    </row>
    <row r="2016" spans="1:10" x14ac:dyDescent="0.35">
      <c r="A2016" s="4">
        <v>41025</v>
      </c>
      <c r="B2016" s="2">
        <v>10981</v>
      </c>
      <c r="C2016" s="2">
        <v>385</v>
      </c>
      <c r="D2016" s="2">
        <v>34</v>
      </c>
      <c r="E2016" s="2">
        <v>95</v>
      </c>
      <c r="F2016" s="2">
        <v>2</v>
      </c>
      <c r="G2016" s="2">
        <v>1</v>
      </c>
      <c r="H2016" s="2">
        <v>8</v>
      </c>
      <c r="I2016" s="2">
        <v>0</v>
      </c>
      <c r="J2016" t="str">
        <f>_xlfn.XLOOKUP(Table2[[#This Row],[Customer_ID]],Table1[Customer_ID],Table1[Customer_Name])</f>
        <v>Duane Dopp</v>
      </c>
    </row>
    <row r="2017" spans="1:10" x14ac:dyDescent="0.35">
      <c r="A2017" s="4">
        <v>41028</v>
      </c>
      <c r="B2017" s="2">
        <v>10985</v>
      </c>
      <c r="C2017" s="2">
        <v>102</v>
      </c>
      <c r="D2017" s="2">
        <v>38</v>
      </c>
      <c r="E2017" s="2">
        <v>60</v>
      </c>
      <c r="F2017" s="2">
        <v>2</v>
      </c>
      <c r="G2017" s="2">
        <v>5</v>
      </c>
      <c r="H2017" s="2">
        <v>495</v>
      </c>
      <c r="I2017" s="2">
        <v>0</v>
      </c>
      <c r="J2017" t="str">
        <f>_xlfn.XLOOKUP(Table2[[#This Row],[Customer_ID]],Table1[Customer_ID],Table1[Customer_Name])</f>
        <v>Edison Littell</v>
      </c>
    </row>
    <row r="2018" spans="1:10" x14ac:dyDescent="0.35">
      <c r="A2018" s="4">
        <v>41028</v>
      </c>
      <c r="B2018" s="2">
        <v>10985</v>
      </c>
      <c r="C2018" s="2">
        <v>100</v>
      </c>
      <c r="D2018" s="2">
        <v>38</v>
      </c>
      <c r="E2018" s="2">
        <v>60</v>
      </c>
      <c r="F2018" s="2">
        <v>2</v>
      </c>
      <c r="G2018" s="2">
        <v>2</v>
      </c>
      <c r="H2018" s="2">
        <v>1577</v>
      </c>
      <c r="I2018" s="2">
        <v>0</v>
      </c>
      <c r="J2018" t="str">
        <f>_xlfn.XLOOKUP(Table2[[#This Row],[Customer_ID]],Table1[Customer_ID],Table1[Customer_Name])</f>
        <v>Edison Littell</v>
      </c>
    </row>
    <row r="2019" spans="1:10" x14ac:dyDescent="0.35">
      <c r="A2019" s="4">
        <v>41028</v>
      </c>
      <c r="B2019" s="2">
        <v>10985</v>
      </c>
      <c r="C2019" s="2">
        <v>101</v>
      </c>
      <c r="D2019" s="2">
        <v>38</v>
      </c>
      <c r="E2019" s="2">
        <v>60</v>
      </c>
      <c r="F2019" s="2">
        <v>2</v>
      </c>
      <c r="G2019" s="2">
        <v>3</v>
      </c>
      <c r="H2019" s="2">
        <v>706</v>
      </c>
      <c r="I2019" s="2">
        <v>0</v>
      </c>
      <c r="J2019" t="str">
        <f>_xlfn.XLOOKUP(Table2[[#This Row],[Customer_ID]],Table1[Customer_ID],Table1[Customer_Name])</f>
        <v>Edison Littell</v>
      </c>
    </row>
    <row r="2020" spans="1:10" x14ac:dyDescent="0.35">
      <c r="A2020" s="4">
        <v>41029</v>
      </c>
      <c r="B2020" s="2">
        <v>10987</v>
      </c>
      <c r="C2020" s="2">
        <v>94</v>
      </c>
      <c r="D2020" s="2">
        <v>40</v>
      </c>
      <c r="E2020" s="2">
        <v>17</v>
      </c>
      <c r="F2020" s="2">
        <v>2</v>
      </c>
      <c r="G2020" s="2">
        <v>2</v>
      </c>
      <c r="H2020" s="2">
        <v>487</v>
      </c>
      <c r="I2020" s="2">
        <v>0</v>
      </c>
      <c r="J2020" t="str">
        <f>_xlfn.XLOOKUP(Table2[[#This Row],[Customer_ID]],Table1[Customer_ID],Table1[Customer_Name])</f>
        <v>Eleonora Eddinger</v>
      </c>
    </row>
    <row r="2021" spans="1:10" x14ac:dyDescent="0.35">
      <c r="A2021" s="4">
        <v>41029</v>
      </c>
      <c r="B2021" s="2">
        <v>10987</v>
      </c>
      <c r="C2021" s="2">
        <v>91</v>
      </c>
      <c r="D2021" s="2">
        <v>40</v>
      </c>
      <c r="E2021" s="2">
        <v>17</v>
      </c>
      <c r="F2021" s="2">
        <v>2</v>
      </c>
      <c r="G2021" s="2">
        <v>2</v>
      </c>
      <c r="H2021" s="2">
        <v>480</v>
      </c>
      <c r="I2021" s="2">
        <v>0</v>
      </c>
      <c r="J2021" t="str">
        <f>_xlfn.XLOOKUP(Table2[[#This Row],[Customer_ID]],Table1[Customer_ID],Table1[Customer_Name])</f>
        <v>Eleonora Eddinger</v>
      </c>
    </row>
    <row r="2022" spans="1:10" x14ac:dyDescent="0.35">
      <c r="A2022" s="4">
        <v>41029</v>
      </c>
      <c r="B2022" s="2">
        <v>10989</v>
      </c>
      <c r="C2022" s="2">
        <v>445</v>
      </c>
      <c r="D2022" s="2">
        <v>42</v>
      </c>
      <c r="E2022" s="2">
        <v>92</v>
      </c>
      <c r="F2022" s="2">
        <v>2</v>
      </c>
      <c r="G2022" s="2">
        <v>4</v>
      </c>
      <c r="H2022" s="2">
        <v>46</v>
      </c>
      <c r="I2022" s="2">
        <v>0</v>
      </c>
      <c r="J2022" t="str">
        <f>_xlfn.XLOOKUP(Table2[[#This Row],[Customer_ID]],Table1[Customer_ID],Table1[Customer_Name])</f>
        <v>Eliseo Mangual</v>
      </c>
    </row>
    <row r="2023" spans="1:10" x14ac:dyDescent="0.35">
      <c r="A2023" s="4">
        <v>41029</v>
      </c>
      <c r="B2023" s="2">
        <v>10989</v>
      </c>
      <c r="C2023" s="2">
        <v>440</v>
      </c>
      <c r="D2023" s="2">
        <v>42</v>
      </c>
      <c r="E2023" s="2">
        <v>90</v>
      </c>
      <c r="F2023" s="2">
        <v>2</v>
      </c>
      <c r="G2023" s="2">
        <v>1</v>
      </c>
      <c r="H2023" s="2">
        <v>38</v>
      </c>
      <c r="I2023" s="2">
        <v>0</v>
      </c>
      <c r="J2023" t="str">
        <f>_xlfn.XLOOKUP(Table2[[#This Row],[Customer_ID]],Table1[Customer_ID],Table1[Customer_Name])</f>
        <v>Eliseo Mangual</v>
      </c>
    </row>
    <row r="2024" spans="1:10" x14ac:dyDescent="0.35">
      <c r="A2024" s="4">
        <v>41029</v>
      </c>
      <c r="B2024" s="2">
        <v>10987</v>
      </c>
      <c r="C2024" s="2">
        <v>93</v>
      </c>
      <c r="D2024" s="2">
        <v>40</v>
      </c>
      <c r="E2024" s="2">
        <v>17</v>
      </c>
      <c r="F2024" s="2">
        <v>2</v>
      </c>
      <c r="G2024" s="2">
        <v>1</v>
      </c>
      <c r="H2024" s="2">
        <v>712</v>
      </c>
      <c r="I2024" s="2">
        <v>0</v>
      </c>
      <c r="J2024" t="str">
        <f>_xlfn.XLOOKUP(Table2[[#This Row],[Customer_ID]],Table1[Customer_ID],Table1[Customer_Name])</f>
        <v>Eleonora Eddinger</v>
      </c>
    </row>
    <row r="2025" spans="1:10" x14ac:dyDescent="0.35">
      <c r="A2025" s="4">
        <v>41029</v>
      </c>
      <c r="B2025" s="2">
        <v>10989</v>
      </c>
      <c r="C2025" s="2">
        <v>430</v>
      </c>
      <c r="D2025" s="2">
        <v>42</v>
      </c>
      <c r="E2025" s="2">
        <v>92</v>
      </c>
      <c r="F2025" s="2">
        <v>2</v>
      </c>
      <c r="G2025" s="2">
        <v>6</v>
      </c>
      <c r="H2025" s="2">
        <v>18</v>
      </c>
      <c r="I2025" s="2">
        <v>0</v>
      </c>
      <c r="J2025" t="str">
        <f>_xlfn.XLOOKUP(Table2[[#This Row],[Customer_ID]],Table1[Customer_ID],Table1[Customer_Name])</f>
        <v>Eliseo Mangual</v>
      </c>
    </row>
    <row r="2026" spans="1:10" x14ac:dyDescent="0.35">
      <c r="A2026" s="4">
        <v>41030</v>
      </c>
      <c r="B2026" s="2">
        <v>10993</v>
      </c>
      <c r="C2026" s="2">
        <v>251</v>
      </c>
      <c r="D2026" s="2">
        <v>46</v>
      </c>
      <c r="E2026" s="2">
        <v>2</v>
      </c>
      <c r="F2026" s="2">
        <v>2</v>
      </c>
      <c r="G2026" s="2">
        <v>6</v>
      </c>
      <c r="H2026" s="2">
        <v>25</v>
      </c>
      <c r="I2026" s="2">
        <v>0</v>
      </c>
      <c r="J2026" t="str">
        <f>_xlfn.XLOOKUP(Table2[[#This Row],[Customer_ID]],Table1[Customer_ID],Table1[Customer_Name])</f>
        <v>Fay Cumbo</v>
      </c>
    </row>
    <row r="2027" spans="1:10" x14ac:dyDescent="0.35">
      <c r="A2027" s="4">
        <v>41030</v>
      </c>
      <c r="B2027" s="2">
        <v>10993</v>
      </c>
      <c r="C2027" s="2">
        <v>59</v>
      </c>
      <c r="D2027" s="2">
        <v>46</v>
      </c>
      <c r="E2027" s="2">
        <v>2</v>
      </c>
      <c r="F2027" s="2">
        <v>2</v>
      </c>
      <c r="G2027" s="2">
        <v>1</v>
      </c>
      <c r="H2027" s="2">
        <v>11</v>
      </c>
      <c r="I2027" s="2">
        <v>0</v>
      </c>
      <c r="J2027" t="str">
        <f>_xlfn.XLOOKUP(Table2[[#This Row],[Customer_ID]],Table1[Customer_ID],Table1[Customer_Name])</f>
        <v>Fay Cumbo</v>
      </c>
    </row>
    <row r="2028" spans="1:10" x14ac:dyDescent="0.35">
      <c r="A2028" s="4">
        <v>41030</v>
      </c>
      <c r="B2028" s="2">
        <v>10991</v>
      </c>
      <c r="C2028" s="2">
        <v>427</v>
      </c>
      <c r="D2028" s="2">
        <v>44</v>
      </c>
      <c r="E2028" s="2">
        <v>15</v>
      </c>
      <c r="F2028" s="2">
        <v>2</v>
      </c>
      <c r="G2028" s="2">
        <v>1</v>
      </c>
      <c r="H2028" s="2">
        <v>18</v>
      </c>
      <c r="I2028" s="2">
        <v>0</v>
      </c>
      <c r="J2028" t="str">
        <f>_xlfn.XLOOKUP(Table2[[#This Row],[Customer_ID]],Table1[Customer_ID],Table1[Customer_Name])</f>
        <v>Eura Gordan</v>
      </c>
    </row>
    <row r="2029" spans="1:10" x14ac:dyDescent="0.35">
      <c r="A2029" s="4">
        <v>41030</v>
      </c>
      <c r="B2029" s="2">
        <v>10991</v>
      </c>
      <c r="C2029" s="2">
        <v>455</v>
      </c>
      <c r="D2029" s="2">
        <v>44</v>
      </c>
      <c r="E2029" s="2">
        <v>15</v>
      </c>
      <c r="F2029" s="2">
        <v>2</v>
      </c>
      <c r="G2029" s="2">
        <v>6</v>
      </c>
      <c r="H2029" s="2">
        <v>20</v>
      </c>
      <c r="I2029" s="2">
        <v>0</v>
      </c>
      <c r="J2029" t="str">
        <f>_xlfn.XLOOKUP(Table2[[#This Row],[Customer_ID]],Table1[Customer_ID],Table1[Customer_Name])</f>
        <v>Eura Gordan</v>
      </c>
    </row>
    <row r="2030" spans="1:10" x14ac:dyDescent="0.35">
      <c r="A2030" s="4">
        <v>41030</v>
      </c>
      <c r="B2030" s="2">
        <v>10991</v>
      </c>
      <c r="C2030" s="2">
        <v>434</v>
      </c>
      <c r="D2030" s="2">
        <v>44</v>
      </c>
      <c r="E2030" s="2">
        <v>15</v>
      </c>
      <c r="F2030" s="2">
        <v>2</v>
      </c>
      <c r="G2030" s="2">
        <v>1</v>
      </c>
      <c r="H2030" s="2">
        <v>24</v>
      </c>
      <c r="I2030" s="2">
        <v>0</v>
      </c>
      <c r="J2030" t="str">
        <f>_xlfn.XLOOKUP(Table2[[#This Row],[Customer_ID]],Table1[Customer_ID],Table1[Customer_Name])</f>
        <v>Eura Gordan</v>
      </c>
    </row>
    <row r="2031" spans="1:10" x14ac:dyDescent="0.35">
      <c r="A2031" s="4">
        <v>41031</v>
      </c>
      <c r="B2031" s="2">
        <v>10995</v>
      </c>
      <c r="C2031" s="2">
        <v>61</v>
      </c>
      <c r="D2031" s="2">
        <v>48</v>
      </c>
      <c r="E2031" s="2">
        <v>19</v>
      </c>
      <c r="F2031" s="2">
        <v>2</v>
      </c>
      <c r="G2031" s="2">
        <v>2</v>
      </c>
      <c r="H2031" s="2">
        <v>4</v>
      </c>
      <c r="I2031" s="2">
        <v>0</v>
      </c>
      <c r="J2031" t="str">
        <f>_xlfn.XLOOKUP(Table2[[#This Row],[Customer_ID]],Table1[Customer_ID],Table1[Customer_Name])</f>
        <v>Federico Flores</v>
      </c>
    </row>
    <row r="2032" spans="1:10" x14ac:dyDescent="0.35">
      <c r="A2032" s="4">
        <v>41031</v>
      </c>
      <c r="B2032" s="2">
        <v>10995</v>
      </c>
      <c r="C2032" s="2">
        <v>64</v>
      </c>
      <c r="D2032" s="2">
        <v>48</v>
      </c>
      <c r="E2032" s="2">
        <v>19</v>
      </c>
      <c r="F2032" s="2">
        <v>2</v>
      </c>
      <c r="G2032" s="2">
        <v>6</v>
      </c>
      <c r="H2032" s="2">
        <v>6</v>
      </c>
      <c r="I2032" s="2">
        <v>0</v>
      </c>
      <c r="J2032" t="str">
        <f>_xlfn.XLOOKUP(Table2[[#This Row],[Customer_ID]],Table1[Customer_ID],Table1[Customer_Name])</f>
        <v>Federico Flores</v>
      </c>
    </row>
    <row r="2033" spans="1:10" x14ac:dyDescent="0.35">
      <c r="A2033" s="4">
        <v>41032</v>
      </c>
      <c r="B2033" s="2">
        <v>10997</v>
      </c>
      <c r="C2033" s="2">
        <v>333</v>
      </c>
      <c r="D2033" s="2">
        <v>50</v>
      </c>
      <c r="E2033" s="2">
        <v>81</v>
      </c>
      <c r="F2033" s="2">
        <v>2</v>
      </c>
      <c r="G2033" s="2">
        <v>5</v>
      </c>
      <c r="H2033" s="2">
        <v>46</v>
      </c>
      <c r="I2033" s="2">
        <v>0</v>
      </c>
      <c r="J2033" t="str">
        <f>_xlfn.XLOOKUP(Table2[[#This Row],[Customer_ID]],Table1[Customer_ID],Table1[Customer_Name])</f>
        <v>Gia Junkin</v>
      </c>
    </row>
    <row r="2034" spans="1:10" x14ac:dyDescent="0.35">
      <c r="A2034" s="4">
        <v>41032</v>
      </c>
      <c r="B2034" s="2">
        <v>10999</v>
      </c>
      <c r="C2034" s="2">
        <v>443</v>
      </c>
      <c r="D2034" s="2">
        <v>52</v>
      </c>
      <c r="E2034" s="2">
        <v>32</v>
      </c>
      <c r="F2034" s="2">
        <v>2</v>
      </c>
      <c r="G2034" s="2">
        <v>3</v>
      </c>
      <c r="H2034" s="2">
        <v>19</v>
      </c>
      <c r="I2034" s="2">
        <v>0</v>
      </c>
      <c r="J2034" t="str">
        <f>_xlfn.XLOOKUP(Table2[[#This Row],[Customer_ID]],Table1[Customer_ID],Table1[Customer_Name])</f>
        <v>Glennis Going</v>
      </c>
    </row>
    <row r="2035" spans="1:10" x14ac:dyDescent="0.35">
      <c r="A2035" s="4">
        <v>41032</v>
      </c>
      <c r="B2035" s="2">
        <v>10999</v>
      </c>
      <c r="C2035" s="2">
        <v>409</v>
      </c>
      <c r="D2035" s="2">
        <v>52</v>
      </c>
      <c r="E2035" s="2">
        <v>32</v>
      </c>
      <c r="F2035" s="2">
        <v>2</v>
      </c>
      <c r="G2035" s="2">
        <v>6</v>
      </c>
      <c r="H2035" s="2">
        <v>10</v>
      </c>
      <c r="I2035" s="2">
        <v>0</v>
      </c>
      <c r="J2035" t="str">
        <f>_xlfn.XLOOKUP(Table2[[#This Row],[Customer_ID]],Table1[Customer_ID],Table1[Customer_Name])</f>
        <v>Glennis Going</v>
      </c>
    </row>
    <row r="2036" spans="1:10" x14ac:dyDescent="0.35">
      <c r="A2036" s="4">
        <v>41032</v>
      </c>
      <c r="B2036" s="2">
        <v>10999</v>
      </c>
      <c r="C2036" s="2">
        <v>449</v>
      </c>
      <c r="D2036" s="2">
        <v>52</v>
      </c>
      <c r="E2036" s="2">
        <v>32</v>
      </c>
      <c r="F2036" s="2">
        <v>2</v>
      </c>
      <c r="G2036" s="2">
        <v>4</v>
      </c>
      <c r="H2036" s="2">
        <v>19</v>
      </c>
      <c r="I2036" s="2">
        <v>0</v>
      </c>
      <c r="J2036" t="str">
        <f>_xlfn.XLOOKUP(Table2[[#This Row],[Customer_ID]],Table1[Customer_ID],Table1[Customer_Name])</f>
        <v>Glennis Going</v>
      </c>
    </row>
    <row r="2037" spans="1:10" x14ac:dyDescent="0.35">
      <c r="A2037" s="4">
        <v>41032</v>
      </c>
      <c r="B2037" s="2">
        <v>10997</v>
      </c>
      <c r="C2037" s="2">
        <v>368</v>
      </c>
      <c r="D2037" s="2">
        <v>50</v>
      </c>
      <c r="E2037" s="2">
        <v>83</v>
      </c>
      <c r="F2037" s="2">
        <v>2</v>
      </c>
      <c r="G2037" s="2">
        <v>4</v>
      </c>
      <c r="H2037" s="2">
        <v>6</v>
      </c>
      <c r="I2037" s="2">
        <v>0</v>
      </c>
      <c r="J2037" t="str">
        <f>_xlfn.XLOOKUP(Table2[[#This Row],[Customer_ID]],Table1[Customer_ID],Table1[Customer_Name])</f>
        <v>Gia Junkin</v>
      </c>
    </row>
    <row r="2038" spans="1:10" x14ac:dyDescent="0.35">
      <c r="A2038" s="4">
        <v>41032</v>
      </c>
      <c r="B2038" s="2">
        <v>10997</v>
      </c>
      <c r="C2038" s="2">
        <v>331</v>
      </c>
      <c r="D2038" s="2">
        <v>50</v>
      </c>
      <c r="E2038" s="2">
        <v>81</v>
      </c>
      <c r="F2038" s="2">
        <v>2</v>
      </c>
      <c r="G2038" s="2">
        <v>1</v>
      </c>
      <c r="H2038" s="2">
        <v>11</v>
      </c>
      <c r="I2038" s="2">
        <v>0</v>
      </c>
      <c r="J2038" t="str">
        <f>_xlfn.XLOOKUP(Table2[[#This Row],[Customer_ID]],Table1[Customer_ID],Table1[Customer_Name])</f>
        <v>Gia Junkin</v>
      </c>
    </row>
    <row r="2039" spans="1:10" x14ac:dyDescent="0.35">
      <c r="A2039" s="4">
        <v>41035</v>
      </c>
      <c r="B2039" s="2">
        <v>11003</v>
      </c>
      <c r="C2039" s="2">
        <v>438</v>
      </c>
      <c r="D2039" s="2">
        <v>56</v>
      </c>
      <c r="E2039" s="2">
        <v>50</v>
      </c>
      <c r="F2039" s="2">
        <v>2</v>
      </c>
      <c r="G2039" s="2">
        <v>3</v>
      </c>
      <c r="H2039" s="2">
        <v>8</v>
      </c>
      <c r="I2039" s="2">
        <v>0</v>
      </c>
      <c r="J2039" t="str">
        <f>_xlfn.XLOOKUP(Table2[[#This Row],[Customer_ID]],Table1[Customer_ID],Table1[Customer_Name])</f>
        <v>Hsiu Hinrichs</v>
      </c>
    </row>
    <row r="2040" spans="1:10" x14ac:dyDescent="0.35">
      <c r="A2040" s="4">
        <v>41035</v>
      </c>
      <c r="B2040" s="2">
        <v>11001</v>
      </c>
      <c r="C2040" s="2">
        <v>226</v>
      </c>
      <c r="D2040" s="2">
        <v>54</v>
      </c>
      <c r="E2040" s="2">
        <v>43</v>
      </c>
      <c r="F2040" s="2">
        <v>2</v>
      </c>
      <c r="G2040" s="2">
        <v>1</v>
      </c>
      <c r="H2040" s="2">
        <v>4</v>
      </c>
      <c r="I2040" s="2">
        <v>0</v>
      </c>
      <c r="J2040" t="str">
        <f>_xlfn.XLOOKUP(Table2[[#This Row],[Customer_ID]],Table1[Customer_ID],Table1[Customer_Name])</f>
        <v>Harmony Burell</v>
      </c>
    </row>
    <row r="2041" spans="1:10" x14ac:dyDescent="0.35">
      <c r="A2041" s="4">
        <v>41035</v>
      </c>
      <c r="B2041" s="2">
        <v>11003</v>
      </c>
      <c r="C2041" s="2">
        <v>398</v>
      </c>
      <c r="D2041" s="2">
        <v>56</v>
      </c>
      <c r="E2041" s="2">
        <v>50</v>
      </c>
      <c r="F2041" s="2">
        <v>2</v>
      </c>
      <c r="G2041" s="2">
        <v>2</v>
      </c>
      <c r="H2041" s="2">
        <v>12</v>
      </c>
      <c r="I2041" s="2">
        <v>0</v>
      </c>
      <c r="J2041" t="str">
        <f>_xlfn.XLOOKUP(Table2[[#This Row],[Customer_ID]],Table1[Customer_ID],Table1[Customer_Name])</f>
        <v>Hsiu Hinrichs</v>
      </c>
    </row>
    <row r="2042" spans="1:10" x14ac:dyDescent="0.35">
      <c r="A2042" s="4">
        <v>41035</v>
      </c>
      <c r="B2042" s="2">
        <v>11001</v>
      </c>
      <c r="C2042" s="2">
        <v>371</v>
      </c>
      <c r="D2042" s="2">
        <v>54</v>
      </c>
      <c r="E2042" s="2">
        <v>43</v>
      </c>
      <c r="F2042" s="2">
        <v>2</v>
      </c>
      <c r="G2042" s="2">
        <v>1</v>
      </c>
      <c r="H2042" s="2">
        <v>7</v>
      </c>
      <c r="I2042" s="2">
        <v>0</v>
      </c>
      <c r="J2042" t="str">
        <f>_xlfn.XLOOKUP(Table2[[#This Row],[Customer_ID]],Table1[Customer_ID],Table1[Customer_Name])</f>
        <v>Harmony Burell</v>
      </c>
    </row>
    <row r="2043" spans="1:10" x14ac:dyDescent="0.35">
      <c r="A2043" s="4">
        <v>41035</v>
      </c>
      <c r="B2043" s="2">
        <v>11001</v>
      </c>
      <c r="C2043" s="2">
        <v>189</v>
      </c>
      <c r="D2043" s="2">
        <v>54</v>
      </c>
      <c r="E2043" s="2">
        <v>43</v>
      </c>
      <c r="F2043" s="2">
        <v>2</v>
      </c>
      <c r="G2043" s="2">
        <v>1</v>
      </c>
      <c r="H2043" s="2">
        <v>9</v>
      </c>
      <c r="I2043" s="2">
        <v>0</v>
      </c>
      <c r="J2043" t="str">
        <f>_xlfn.XLOOKUP(Table2[[#This Row],[Customer_ID]],Table1[Customer_ID],Table1[Customer_Name])</f>
        <v>Harmony Burell</v>
      </c>
    </row>
    <row r="2044" spans="1:10" x14ac:dyDescent="0.35">
      <c r="A2044" s="4">
        <v>41035</v>
      </c>
      <c r="B2044" s="2">
        <v>11001</v>
      </c>
      <c r="C2044" s="2">
        <v>214</v>
      </c>
      <c r="D2044" s="2">
        <v>54</v>
      </c>
      <c r="E2044" s="2">
        <v>43</v>
      </c>
      <c r="F2044" s="2">
        <v>2</v>
      </c>
      <c r="G2044" s="2">
        <v>6</v>
      </c>
      <c r="H2044" s="2">
        <v>7</v>
      </c>
      <c r="I2044" s="2">
        <v>0</v>
      </c>
      <c r="J2044" t="str">
        <f>_xlfn.XLOOKUP(Table2[[#This Row],[Customer_ID]],Table1[Customer_ID],Table1[Customer_Name])</f>
        <v>Harmony Burell</v>
      </c>
    </row>
    <row r="2045" spans="1:10" x14ac:dyDescent="0.35">
      <c r="A2045" s="4">
        <v>41035</v>
      </c>
      <c r="B2045" s="2">
        <v>11003</v>
      </c>
      <c r="C2045" s="2">
        <v>402</v>
      </c>
      <c r="D2045" s="2">
        <v>56</v>
      </c>
      <c r="E2045" s="2">
        <v>50</v>
      </c>
      <c r="F2045" s="2">
        <v>2</v>
      </c>
      <c r="G2045" s="2">
        <v>3</v>
      </c>
      <c r="H2045" s="2">
        <v>13</v>
      </c>
      <c r="I2045" s="2">
        <v>0</v>
      </c>
      <c r="J2045" t="str">
        <f>_xlfn.XLOOKUP(Table2[[#This Row],[Customer_ID]],Table1[Customer_ID],Table1[Customer_Name])</f>
        <v>Hsiu Hinrichs</v>
      </c>
    </row>
    <row r="2046" spans="1:10" x14ac:dyDescent="0.35">
      <c r="A2046" s="4">
        <v>41036</v>
      </c>
      <c r="B2046" s="2">
        <v>11005</v>
      </c>
      <c r="C2046" s="2">
        <v>329</v>
      </c>
      <c r="D2046" s="2">
        <v>58</v>
      </c>
      <c r="E2046" s="2">
        <v>40</v>
      </c>
      <c r="F2046" s="2">
        <v>2</v>
      </c>
      <c r="G2046" s="2">
        <v>1</v>
      </c>
      <c r="H2046" s="2">
        <v>21</v>
      </c>
      <c r="I2046" s="2">
        <v>0</v>
      </c>
      <c r="J2046" t="str">
        <f>_xlfn.XLOOKUP(Table2[[#This Row],[Customer_ID]],Table1[Customer_ID],Table1[Customer_Name])</f>
        <v>Isis Isom</v>
      </c>
    </row>
    <row r="2047" spans="1:10" x14ac:dyDescent="0.35">
      <c r="A2047" s="4">
        <v>41036</v>
      </c>
      <c r="B2047" s="2">
        <v>11005</v>
      </c>
      <c r="C2047" s="2">
        <v>212</v>
      </c>
      <c r="D2047" s="2">
        <v>58</v>
      </c>
      <c r="E2047" s="2">
        <v>40</v>
      </c>
      <c r="F2047" s="2">
        <v>2</v>
      </c>
      <c r="G2047" s="2">
        <v>3</v>
      </c>
      <c r="H2047" s="2">
        <v>32</v>
      </c>
      <c r="I2047" s="2">
        <v>0</v>
      </c>
      <c r="J2047" t="str">
        <f>_xlfn.XLOOKUP(Table2[[#This Row],[Customer_ID]],Table1[Customer_ID],Table1[Customer_Name])</f>
        <v>Isis Isom</v>
      </c>
    </row>
    <row r="2048" spans="1:10" x14ac:dyDescent="0.35">
      <c r="A2048" s="4">
        <v>41037</v>
      </c>
      <c r="B2048" s="2">
        <v>11009</v>
      </c>
      <c r="C2048" s="2">
        <v>366</v>
      </c>
      <c r="D2048" s="2">
        <v>62</v>
      </c>
      <c r="E2048" s="2">
        <v>53</v>
      </c>
      <c r="F2048" s="2">
        <v>2</v>
      </c>
      <c r="G2048" s="2">
        <v>2</v>
      </c>
      <c r="H2048" s="2">
        <v>7</v>
      </c>
      <c r="I2048" s="2">
        <v>0</v>
      </c>
      <c r="J2048" t="str">
        <f>_xlfn.XLOOKUP(Table2[[#This Row],[Customer_ID]],Table1[Customer_ID],Table1[Customer_Name])</f>
        <v>Jeanine Chavez</v>
      </c>
    </row>
    <row r="2049" spans="1:10" x14ac:dyDescent="0.35">
      <c r="A2049" s="4">
        <v>41037</v>
      </c>
      <c r="B2049" s="2">
        <v>11007</v>
      </c>
      <c r="C2049" s="2">
        <v>306</v>
      </c>
      <c r="D2049" s="2">
        <v>60</v>
      </c>
      <c r="E2049" s="2">
        <v>80</v>
      </c>
      <c r="F2049" s="2">
        <v>2</v>
      </c>
      <c r="G2049" s="2">
        <v>3</v>
      </c>
      <c r="H2049" s="2">
        <v>9</v>
      </c>
      <c r="I2049" s="2">
        <v>0</v>
      </c>
      <c r="J2049" t="str">
        <f>_xlfn.XLOOKUP(Table2[[#This Row],[Customer_ID]],Table1[Customer_ID],Table1[Customer_Name])</f>
        <v>Janetta Jhonson</v>
      </c>
    </row>
    <row r="2050" spans="1:10" x14ac:dyDescent="0.35">
      <c r="A2050" s="4">
        <v>41037</v>
      </c>
      <c r="B2050" s="2">
        <v>11007</v>
      </c>
      <c r="C2050" s="2">
        <v>261</v>
      </c>
      <c r="D2050" s="2">
        <v>60</v>
      </c>
      <c r="E2050" s="2">
        <v>80</v>
      </c>
      <c r="F2050" s="2">
        <v>2</v>
      </c>
      <c r="G2050" s="2">
        <v>5</v>
      </c>
      <c r="H2050" s="2">
        <v>5</v>
      </c>
      <c r="I2050" s="2">
        <v>0</v>
      </c>
      <c r="J2050" t="str">
        <f>_xlfn.XLOOKUP(Table2[[#This Row],[Customer_ID]],Table1[Customer_ID],Table1[Customer_Name])</f>
        <v>Janetta Jhonson</v>
      </c>
    </row>
    <row r="2051" spans="1:10" x14ac:dyDescent="0.35">
      <c r="A2051" s="4">
        <v>41037</v>
      </c>
      <c r="B2051" s="2">
        <v>11009</v>
      </c>
      <c r="C2051" s="2">
        <v>225</v>
      </c>
      <c r="D2051" s="2">
        <v>62</v>
      </c>
      <c r="E2051" s="2">
        <v>53</v>
      </c>
      <c r="F2051" s="2">
        <v>2</v>
      </c>
      <c r="G2051" s="2">
        <v>2</v>
      </c>
      <c r="H2051" s="2">
        <v>3</v>
      </c>
      <c r="I2051" s="2">
        <v>0</v>
      </c>
      <c r="J2051" t="str">
        <f>_xlfn.XLOOKUP(Table2[[#This Row],[Customer_ID]],Table1[Customer_ID],Table1[Customer_Name])</f>
        <v>Jeanine Chavez</v>
      </c>
    </row>
    <row r="2052" spans="1:10" x14ac:dyDescent="0.35">
      <c r="A2052" s="4">
        <v>41037</v>
      </c>
      <c r="B2052" s="2">
        <v>11009</v>
      </c>
      <c r="C2052" s="2">
        <v>305</v>
      </c>
      <c r="D2052" s="2">
        <v>62</v>
      </c>
      <c r="E2052" s="2">
        <v>53</v>
      </c>
      <c r="F2052" s="2">
        <v>2</v>
      </c>
      <c r="G2052" s="2">
        <v>1</v>
      </c>
      <c r="H2052" s="2">
        <v>4</v>
      </c>
      <c r="I2052" s="2">
        <v>0</v>
      </c>
      <c r="J2052" t="str">
        <f>_xlfn.XLOOKUP(Table2[[#This Row],[Customer_ID]],Table1[Customer_ID],Table1[Customer_Name])</f>
        <v>Jeanine Chavez</v>
      </c>
    </row>
    <row r="2053" spans="1:10" x14ac:dyDescent="0.35">
      <c r="A2053" s="4">
        <v>41037</v>
      </c>
      <c r="B2053" s="2">
        <v>11007</v>
      </c>
      <c r="C2053" s="2">
        <v>256</v>
      </c>
      <c r="D2053" s="2">
        <v>60</v>
      </c>
      <c r="E2053" s="2">
        <v>80</v>
      </c>
      <c r="F2053" s="2">
        <v>2</v>
      </c>
      <c r="G2053" s="2">
        <v>7</v>
      </c>
      <c r="H2053" s="2">
        <v>5</v>
      </c>
      <c r="I2053" s="2">
        <v>0</v>
      </c>
      <c r="J2053" t="str">
        <f>_xlfn.XLOOKUP(Table2[[#This Row],[Customer_ID]],Table1[Customer_ID],Table1[Customer_Name])</f>
        <v>Janetta Jhonson</v>
      </c>
    </row>
    <row r="2054" spans="1:10" x14ac:dyDescent="0.35">
      <c r="A2054" s="4">
        <v>41038</v>
      </c>
      <c r="B2054" s="2">
        <v>11013</v>
      </c>
      <c r="C2054" s="2">
        <v>227</v>
      </c>
      <c r="D2054" s="2">
        <v>66</v>
      </c>
      <c r="F2054" s="2">
        <v>2</v>
      </c>
      <c r="G2054" s="2">
        <v>6</v>
      </c>
      <c r="H2054" s="2">
        <v>4</v>
      </c>
      <c r="I2054" s="2">
        <v>0</v>
      </c>
      <c r="J2054" t="str">
        <f>_xlfn.XLOOKUP(Table2[[#This Row],[Customer_ID]],Table1[Customer_ID],Table1[Customer_Name])</f>
        <v>Julieta Hard</v>
      </c>
    </row>
    <row r="2055" spans="1:10" x14ac:dyDescent="0.35">
      <c r="A2055" s="4">
        <v>41038</v>
      </c>
      <c r="B2055" s="2">
        <v>11013</v>
      </c>
      <c r="C2055" s="2">
        <v>286</v>
      </c>
      <c r="D2055" s="2">
        <v>66</v>
      </c>
      <c r="F2055" s="2">
        <v>2</v>
      </c>
      <c r="G2055" s="2">
        <v>5</v>
      </c>
      <c r="H2055" s="2">
        <v>4</v>
      </c>
      <c r="I2055" s="2">
        <v>0</v>
      </c>
      <c r="J2055" t="str">
        <f>_xlfn.XLOOKUP(Table2[[#This Row],[Customer_ID]],Table1[Customer_ID],Table1[Customer_Name])</f>
        <v>Julieta Hard</v>
      </c>
    </row>
    <row r="2056" spans="1:10" x14ac:dyDescent="0.35">
      <c r="A2056" s="4">
        <v>41038</v>
      </c>
      <c r="B2056" s="2">
        <v>11013</v>
      </c>
      <c r="C2056" s="2">
        <v>285</v>
      </c>
      <c r="D2056" s="2">
        <v>66</v>
      </c>
      <c r="F2056" s="2">
        <v>2</v>
      </c>
      <c r="G2056" s="2">
        <v>3</v>
      </c>
      <c r="H2056" s="2">
        <v>5</v>
      </c>
      <c r="I2056" s="2">
        <v>0</v>
      </c>
      <c r="J2056" t="str">
        <f>_xlfn.XLOOKUP(Table2[[#This Row],[Customer_ID]],Table1[Customer_ID],Table1[Customer_Name])</f>
        <v>Julieta Hard</v>
      </c>
    </row>
    <row r="2057" spans="1:10" x14ac:dyDescent="0.35">
      <c r="A2057" s="4">
        <v>41038</v>
      </c>
      <c r="B2057" s="2">
        <v>11011</v>
      </c>
      <c r="C2057" s="2">
        <v>367</v>
      </c>
      <c r="D2057" s="2">
        <v>64</v>
      </c>
      <c r="E2057" s="2">
        <v>8</v>
      </c>
      <c r="F2057" s="2">
        <v>2</v>
      </c>
      <c r="G2057" s="2">
        <v>7</v>
      </c>
      <c r="H2057" s="2">
        <v>10</v>
      </c>
      <c r="I2057" s="2">
        <v>0</v>
      </c>
      <c r="J2057" t="str">
        <f>_xlfn.XLOOKUP(Table2[[#This Row],[Customer_ID]],Table1[Customer_ID],Table1[Customer_Name])</f>
        <v>Josephine Escoto</v>
      </c>
    </row>
    <row r="2058" spans="1:10" x14ac:dyDescent="0.35">
      <c r="A2058" s="4">
        <v>41038</v>
      </c>
      <c r="B2058" s="2">
        <v>11013</v>
      </c>
      <c r="C2058" s="2">
        <v>288</v>
      </c>
      <c r="D2058" s="2">
        <v>66</v>
      </c>
      <c r="F2058" s="2">
        <v>2</v>
      </c>
      <c r="G2058" s="2">
        <v>2</v>
      </c>
      <c r="H2058" s="2">
        <v>3</v>
      </c>
      <c r="I2058" s="2">
        <v>0</v>
      </c>
      <c r="J2058" t="str">
        <f>_xlfn.XLOOKUP(Table2[[#This Row],[Customer_ID]],Table1[Customer_ID],Table1[Customer_Name])</f>
        <v>Julieta Hard</v>
      </c>
    </row>
    <row r="2059" spans="1:10" x14ac:dyDescent="0.35">
      <c r="A2059" s="4">
        <v>41038</v>
      </c>
      <c r="B2059" s="2">
        <v>11011</v>
      </c>
      <c r="C2059" s="2">
        <v>363</v>
      </c>
      <c r="D2059" s="2">
        <v>64</v>
      </c>
      <c r="E2059" s="2">
        <v>8</v>
      </c>
      <c r="F2059" s="2">
        <v>2</v>
      </c>
      <c r="G2059" s="2">
        <v>9</v>
      </c>
      <c r="H2059" s="2">
        <v>2</v>
      </c>
      <c r="I2059" s="2">
        <v>0</v>
      </c>
      <c r="J2059" t="str">
        <f>_xlfn.XLOOKUP(Table2[[#This Row],[Customer_ID]],Table1[Customer_ID],Table1[Customer_Name])</f>
        <v>Josephine Escoto</v>
      </c>
    </row>
    <row r="2060" spans="1:10" x14ac:dyDescent="0.35">
      <c r="A2060" s="4">
        <v>41039</v>
      </c>
      <c r="B2060" s="2">
        <v>11015</v>
      </c>
      <c r="C2060" s="2">
        <v>240</v>
      </c>
      <c r="D2060" s="2">
        <v>68</v>
      </c>
      <c r="F2060" s="2">
        <v>2</v>
      </c>
      <c r="G2060" s="2">
        <v>1</v>
      </c>
      <c r="H2060" s="2">
        <v>26</v>
      </c>
      <c r="I2060" s="2">
        <v>0</v>
      </c>
      <c r="J2060" t="str">
        <f>_xlfn.XLOOKUP(Table2[[#This Row],[Customer_ID]],Table1[Customer_ID],Table1[Customer_Name])</f>
        <v>Kandy Tully</v>
      </c>
    </row>
    <row r="2061" spans="1:10" x14ac:dyDescent="0.35">
      <c r="A2061" s="4">
        <v>41039</v>
      </c>
      <c r="B2061" s="2">
        <v>11015</v>
      </c>
      <c r="C2061" s="2">
        <v>342</v>
      </c>
      <c r="D2061" s="2">
        <v>68</v>
      </c>
      <c r="F2061" s="2">
        <v>2</v>
      </c>
      <c r="G2061" s="2">
        <v>2</v>
      </c>
      <c r="H2061" s="2">
        <v>4</v>
      </c>
      <c r="I2061" s="2">
        <v>0</v>
      </c>
      <c r="J2061" t="str">
        <f>_xlfn.XLOOKUP(Table2[[#This Row],[Customer_ID]],Table1[Customer_ID],Table1[Customer_Name])</f>
        <v>Kandy Tully</v>
      </c>
    </row>
    <row r="2062" spans="1:10" x14ac:dyDescent="0.35">
      <c r="A2062" s="4">
        <v>41042</v>
      </c>
      <c r="B2062" s="2">
        <v>11017</v>
      </c>
      <c r="C2062" s="2">
        <v>112</v>
      </c>
      <c r="D2062" s="2">
        <v>70</v>
      </c>
      <c r="F2062" s="2">
        <v>2</v>
      </c>
      <c r="G2062" s="2">
        <v>1</v>
      </c>
      <c r="H2062" s="2">
        <v>493</v>
      </c>
      <c r="I2062" s="2">
        <v>0</v>
      </c>
      <c r="J2062" t="str">
        <f>_xlfn.XLOOKUP(Table2[[#This Row],[Customer_ID]],Table1[Customer_ID],Table1[Customer_Name])</f>
        <v>Karina Lisle</v>
      </c>
    </row>
    <row r="2063" spans="1:10" x14ac:dyDescent="0.35">
      <c r="A2063" s="4">
        <v>41042</v>
      </c>
      <c r="B2063" s="2">
        <v>11019</v>
      </c>
      <c r="C2063" s="2">
        <v>104</v>
      </c>
      <c r="D2063" s="2">
        <v>72</v>
      </c>
      <c r="F2063" s="2">
        <v>2</v>
      </c>
      <c r="G2063" s="2">
        <v>1</v>
      </c>
      <c r="H2063" s="2">
        <v>661</v>
      </c>
      <c r="I2063" s="2">
        <v>0</v>
      </c>
      <c r="J2063" t="str">
        <f>_xlfn.XLOOKUP(Table2[[#This Row],[Customer_ID]],Table1[Customer_ID],Table1[Customer_Name])</f>
        <v>Karla Munoz</v>
      </c>
    </row>
    <row r="2064" spans="1:10" x14ac:dyDescent="0.35">
      <c r="A2064" s="4">
        <v>41042</v>
      </c>
      <c r="B2064" s="2">
        <v>11017</v>
      </c>
      <c r="C2064" s="2">
        <v>111</v>
      </c>
      <c r="D2064" s="2">
        <v>70</v>
      </c>
      <c r="F2064" s="2">
        <v>2</v>
      </c>
      <c r="G2064" s="2">
        <v>1</v>
      </c>
      <c r="H2064" s="2">
        <v>547</v>
      </c>
      <c r="I2064" s="2">
        <v>0</v>
      </c>
      <c r="J2064" t="str">
        <f>_xlfn.XLOOKUP(Table2[[#This Row],[Customer_ID]],Table1[Customer_ID],Table1[Customer_Name])</f>
        <v>Karina Lisle</v>
      </c>
    </row>
    <row r="2065" spans="1:10" x14ac:dyDescent="0.35">
      <c r="A2065" s="4">
        <v>41042</v>
      </c>
      <c r="B2065" s="2">
        <v>11017</v>
      </c>
      <c r="C2065" s="2">
        <v>106</v>
      </c>
      <c r="D2065" s="2">
        <v>70</v>
      </c>
      <c r="F2065" s="2">
        <v>2</v>
      </c>
      <c r="G2065" s="2">
        <v>2</v>
      </c>
      <c r="H2065" s="2">
        <v>467</v>
      </c>
      <c r="I2065" s="2">
        <v>0</v>
      </c>
      <c r="J2065" t="str">
        <f>_xlfn.XLOOKUP(Table2[[#This Row],[Customer_ID]],Table1[Customer_ID],Table1[Customer_Name])</f>
        <v>Karina Lisle</v>
      </c>
    </row>
    <row r="2066" spans="1:10" x14ac:dyDescent="0.35">
      <c r="A2066" s="4">
        <v>41042</v>
      </c>
      <c r="B2066" s="2">
        <v>11019</v>
      </c>
      <c r="C2066" s="2">
        <v>105</v>
      </c>
      <c r="D2066" s="2">
        <v>72</v>
      </c>
      <c r="F2066" s="2">
        <v>2</v>
      </c>
      <c r="G2066" s="2">
        <v>6</v>
      </c>
      <c r="H2066" s="2">
        <v>661</v>
      </c>
      <c r="I2066" s="2">
        <v>0</v>
      </c>
      <c r="J2066" t="str">
        <f>_xlfn.XLOOKUP(Table2[[#This Row],[Customer_ID]],Table1[Customer_ID],Table1[Customer_Name])</f>
        <v>Karla Munoz</v>
      </c>
    </row>
    <row r="2067" spans="1:10" x14ac:dyDescent="0.35">
      <c r="A2067" s="4">
        <v>41043</v>
      </c>
      <c r="B2067" s="2">
        <v>11021</v>
      </c>
      <c r="C2067" s="2">
        <v>25</v>
      </c>
      <c r="D2067" s="2">
        <v>74</v>
      </c>
      <c r="F2067" s="2">
        <v>2</v>
      </c>
      <c r="G2067" s="2">
        <v>2</v>
      </c>
      <c r="H2067" s="2">
        <v>364</v>
      </c>
      <c r="I2067" s="2">
        <v>0</v>
      </c>
      <c r="J2067" t="str">
        <f>_xlfn.XLOOKUP(Table2[[#This Row],[Customer_ID]],Table1[Customer_ID],Table1[Customer_Name])</f>
        <v>Kazuko Serrato</v>
      </c>
    </row>
    <row r="2068" spans="1:10" x14ac:dyDescent="0.35">
      <c r="A2068" s="4">
        <v>41043</v>
      </c>
      <c r="B2068" s="2">
        <v>11023</v>
      </c>
      <c r="C2068" s="2">
        <v>50</v>
      </c>
      <c r="D2068" s="2">
        <v>76</v>
      </c>
      <c r="F2068" s="2">
        <v>2</v>
      </c>
      <c r="G2068" s="2">
        <v>7</v>
      </c>
      <c r="H2068" s="2">
        <v>65</v>
      </c>
      <c r="I2068" s="2">
        <v>0</v>
      </c>
      <c r="J2068" t="str">
        <f>_xlfn.XLOOKUP(Table2[[#This Row],[Customer_ID]],Table1[Customer_ID],Table1[Customer_Name])</f>
        <v>Khalilah Demaria</v>
      </c>
    </row>
    <row r="2069" spans="1:10" x14ac:dyDescent="0.35">
      <c r="A2069" s="4">
        <v>41043</v>
      </c>
      <c r="B2069" s="2">
        <v>11021</v>
      </c>
      <c r="C2069" s="2">
        <v>20</v>
      </c>
      <c r="D2069" s="2">
        <v>74</v>
      </c>
      <c r="F2069" s="2">
        <v>2</v>
      </c>
      <c r="G2069" s="2">
        <v>2</v>
      </c>
      <c r="H2069" s="2">
        <v>659</v>
      </c>
      <c r="I2069" s="2">
        <v>0</v>
      </c>
      <c r="J2069" t="str">
        <f>_xlfn.XLOOKUP(Table2[[#This Row],[Customer_ID]],Table1[Customer_ID],Table1[Customer_Name])</f>
        <v>Kazuko Serrato</v>
      </c>
    </row>
    <row r="2070" spans="1:10" x14ac:dyDescent="0.35">
      <c r="A2070" s="4">
        <v>41043</v>
      </c>
      <c r="B2070" s="2">
        <v>11023</v>
      </c>
      <c r="C2070" s="2">
        <v>51</v>
      </c>
      <c r="D2070" s="2">
        <v>76</v>
      </c>
      <c r="F2070" s="2">
        <v>2</v>
      </c>
      <c r="G2070" s="2">
        <v>3</v>
      </c>
      <c r="H2070" s="2">
        <v>18</v>
      </c>
      <c r="I2070" s="2">
        <v>0</v>
      </c>
      <c r="J2070" t="str">
        <f>_xlfn.XLOOKUP(Table2[[#This Row],[Customer_ID]],Table1[Customer_ID],Table1[Customer_Name])</f>
        <v>Khalilah Demaria</v>
      </c>
    </row>
    <row r="2071" spans="1:10" x14ac:dyDescent="0.35">
      <c r="A2071" s="4">
        <v>41043</v>
      </c>
      <c r="B2071" s="2">
        <v>11021</v>
      </c>
      <c r="C2071" s="2">
        <v>22</v>
      </c>
      <c r="D2071" s="2">
        <v>74</v>
      </c>
      <c r="F2071" s="2">
        <v>2</v>
      </c>
      <c r="G2071" s="2">
        <v>3</v>
      </c>
      <c r="H2071" s="2">
        <v>411</v>
      </c>
      <c r="I2071" s="2">
        <v>0</v>
      </c>
      <c r="J2071" t="str">
        <f>_xlfn.XLOOKUP(Table2[[#This Row],[Customer_ID]],Table1[Customer_ID],Table1[Customer_Name])</f>
        <v>Kazuko Serrato</v>
      </c>
    </row>
    <row r="2072" spans="1:10" x14ac:dyDescent="0.35">
      <c r="A2072" s="4">
        <v>41043</v>
      </c>
      <c r="B2072" s="2">
        <v>11021</v>
      </c>
      <c r="C2072" s="2">
        <v>24</v>
      </c>
      <c r="D2072" s="2">
        <v>74</v>
      </c>
      <c r="F2072" s="2">
        <v>2</v>
      </c>
      <c r="G2072" s="2">
        <v>1</v>
      </c>
      <c r="H2072" s="2">
        <v>456</v>
      </c>
      <c r="I2072" s="2">
        <v>0</v>
      </c>
      <c r="J2072" t="str">
        <f>_xlfn.XLOOKUP(Table2[[#This Row],[Customer_ID]],Table1[Customer_ID],Table1[Customer_Name])</f>
        <v>Kazuko Serrato</v>
      </c>
    </row>
    <row r="2073" spans="1:10" x14ac:dyDescent="0.35">
      <c r="A2073" s="4">
        <v>41043</v>
      </c>
      <c r="B2073" s="2">
        <v>11021</v>
      </c>
      <c r="C2073" s="2">
        <v>26</v>
      </c>
      <c r="D2073" s="2">
        <v>74</v>
      </c>
      <c r="F2073" s="2">
        <v>2</v>
      </c>
      <c r="G2073" s="2">
        <v>3</v>
      </c>
      <c r="H2073" s="2">
        <v>252</v>
      </c>
      <c r="I2073" s="2">
        <v>0</v>
      </c>
      <c r="J2073" t="str">
        <f>_xlfn.XLOOKUP(Table2[[#This Row],[Customer_ID]],Table1[Customer_ID],Table1[Customer_Name])</f>
        <v>Kazuko Serrato</v>
      </c>
    </row>
    <row r="2074" spans="1:10" x14ac:dyDescent="0.35">
      <c r="A2074" s="4">
        <v>41044</v>
      </c>
      <c r="B2074" s="2">
        <v>11025</v>
      </c>
      <c r="C2074" s="2">
        <v>321</v>
      </c>
      <c r="D2074" s="2">
        <v>78</v>
      </c>
      <c r="F2074" s="2">
        <v>2</v>
      </c>
      <c r="G2074" s="2">
        <v>3</v>
      </c>
      <c r="H2074" s="2">
        <v>5</v>
      </c>
      <c r="I2074" s="2">
        <v>0</v>
      </c>
      <c r="J2074" t="str">
        <f>_xlfn.XLOOKUP(Table2[[#This Row],[Customer_ID]],Table1[Customer_ID],Table1[Customer_Name])</f>
        <v>Lacey Rollison</v>
      </c>
    </row>
    <row r="2075" spans="1:10" x14ac:dyDescent="0.35">
      <c r="A2075" s="4">
        <v>41044</v>
      </c>
      <c r="B2075" s="2">
        <v>11025</v>
      </c>
      <c r="C2075" s="2">
        <v>171</v>
      </c>
      <c r="D2075" s="2">
        <v>78</v>
      </c>
      <c r="F2075" s="2">
        <v>2</v>
      </c>
      <c r="G2075" s="2">
        <v>1</v>
      </c>
      <c r="H2075" s="2">
        <v>227</v>
      </c>
      <c r="I2075" s="2">
        <v>0</v>
      </c>
      <c r="J2075" t="str">
        <f>_xlfn.XLOOKUP(Table2[[#This Row],[Customer_ID]],Table1[Customer_ID],Table1[Customer_Name])</f>
        <v>Lacey Rollison</v>
      </c>
    </row>
    <row r="2076" spans="1:10" x14ac:dyDescent="0.35">
      <c r="A2076" s="4">
        <v>41045</v>
      </c>
      <c r="B2076" s="2">
        <v>11029</v>
      </c>
      <c r="C2076" s="2">
        <v>209</v>
      </c>
      <c r="D2076" s="2">
        <v>82</v>
      </c>
      <c r="F2076" s="2">
        <v>2</v>
      </c>
      <c r="G2076" s="2">
        <v>1</v>
      </c>
      <c r="H2076" s="2">
        <v>11</v>
      </c>
      <c r="I2076" s="2">
        <v>0</v>
      </c>
      <c r="J2076" t="str">
        <f>_xlfn.XLOOKUP(Table2[[#This Row],[Customer_ID]],Table1[Customer_ID],Table1[Customer_Name])</f>
        <v>Lesley Rue</v>
      </c>
    </row>
    <row r="2077" spans="1:10" x14ac:dyDescent="0.35">
      <c r="A2077" s="4">
        <v>41045</v>
      </c>
      <c r="B2077" s="2">
        <v>11027</v>
      </c>
      <c r="C2077" s="2">
        <v>277</v>
      </c>
      <c r="D2077" s="2">
        <v>80</v>
      </c>
      <c r="F2077" s="2">
        <v>2</v>
      </c>
      <c r="G2077" s="2">
        <v>1</v>
      </c>
      <c r="H2077" s="2">
        <v>2</v>
      </c>
      <c r="I2077" s="2">
        <v>0</v>
      </c>
      <c r="J2077" t="str">
        <f>_xlfn.XLOOKUP(Table2[[#This Row],[Customer_ID]],Table1[Customer_ID],Table1[Customer_Name])</f>
        <v>Lashaunda Mynatt</v>
      </c>
    </row>
    <row r="2078" spans="1:10" x14ac:dyDescent="0.35">
      <c r="A2078" s="4">
        <v>41045</v>
      </c>
      <c r="B2078" s="2">
        <v>11029</v>
      </c>
      <c r="C2078" s="2">
        <v>191</v>
      </c>
      <c r="D2078" s="2">
        <v>82</v>
      </c>
      <c r="F2078" s="2">
        <v>2</v>
      </c>
      <c r="G2078" s="2">
        <v>5</v>
      </c>
      <c r="H2078" s="2">
        <v>11</v>
      </c>
      <c r="I2078" s="2">
        <v>0</v>
      </c>
      <c r="J2078" t="str">
        <f>_xlfn.XLOOKUP(Table2[[#This Row],[Customer_ID]],Table1[Customer_ID],Table1[Customer_Name])</f>
        <v>Lesley Rue</v>
      </c>
    </row>
    <row r="2079" spans="1:10" x14ac:dyDescent="0.35">
      <c r="A2079" s="4">
        <v>41045</v>
      </c>
      <c r="B2079" s="2">
        <v>11027</v>
      </c>
      <c r="C2079" s="2">
        <v>281</v>
      </c>
      <c r="D2079" s="2">
        <v>80</v>
      </c>
      <c r="F2079" s="2">
        <v>2</v>
      </c>
      <c r="G2079" s="2">
        <v>3</v>
      </c>
      <c r="H2079" s="2">
        <v>4</v>
      </c>
      <c r="I2079" s="2">
        <v>0</v>
      </c>
      <c r="J2079" t="str">
        <f>_xlfn.XLOOKUP(Table2[[#This Row],[Customer_ID]],Table1[Customer_ID],Table1[Customer_Name])</f>
        <v>Lashaunda Mynatt</v>
      </c>
    </row>
    <row r="2080" spans="1:10" x14ac:dyDescent="0.35">
      <c r="A2080" s="4">
        <v>41046</v>
      </c>
      <c r="B2080" s="2">
        <v>11031</v>
      </c>
      <c r="C2080" s="2">
        <v>257</v>
      </c>
      <c r="D2080" s="2">
        <v>84</v>
      </c>
      <c r="F2080" s="2">
        <v>2</v>
      </c>
      <c r="G2080" s="2">
        <v>1</v>
      </c>
      <c r="H2080" s="2">
        <v>2</v>
      </c>
      <c r="I2080" s="2">
        <v>0</v>
      </c>
      <c r="J2080" t="str">
        <f>_xlfn.XLOOKUP(Table2[[#This Row],[Customer_ID]],Table1[Customer_ID],Table1[Customer_Name])</f>
        <v>Linn Muncy</v>
      </c>
    </row>
    <row r="2081" spans="1:10" x14ac:dyDescent="0.35">
      <c r="A2081" s="4">
        <v>41046</v>
      </c>
      <c r="B2081" s="2">
        <v>11031</v>
      </c>
      <c r="C2081" s="2">
        <v>318</v>
      </c>
      <c r="D2081" s="2">
        <v>84</v>
      </c>
      <c r="F2081" s="2">
        <v>2</v>
      </c>
      <c r="G2081" s="2">
        <v>1</v>
      </c>
      <c r="H2081" s="2">
        <v>3</v>
      </c>
      <c r="I2081" s="2">
        <v>0</v>
      </c>
      <c r="J2081" t="str">
        <f>_xlfn.XLOOKUP(Table2[[#This Row],[Customer_ID]],Table1[Customer_ID],Table1[Customer_Name])</f>
        <v>Linn Muncy</v>
      </c>
    </row>
    <row r="2082" spans="1:10" x14ac:dyDescent="0.35">
      <c r="A2082" s="4">
        <v>41046</v>
      </c>
      <c r="B2082" s="2">
        <v>11033</v>
      </c>
      <c r="C2082" s="2">
        <v>130</v>
      </c>
      <c r="D2082" s="2">
        <v>86</v>
      </c>
      <c r="F2082" s="2">
        <v>2</v>
      </c>
      <c r="G2082" s="2">
        <v>2</v>
      </c>
      <c r="H2082" s="2">
        <v>1181</v>
      </c>
      <c r="I2082" s="2">
        <v>0</v>
      </c>
      <c r="J2082" t="str">
        <f>_xlfn.XLOOKUP(Table2[[#This Row],[Customer_ID]],Table1[Customer_ID],Table1[Customer_Name])</f>
        <v>Louann Luck</v>
      </c>
    </row>
    <row r="2083" spans="1:10" x14ac:dyDescent="0.35">
      <c r="A2083" s="4">
        <v>41046</v>
      </c>
      <c r="B2083" s="2">
        <v>11031</v>
      </c>
      <c r="C2083" s="2">
        <v>262</v>
      </c>
      <c r="D2083" s="2">
        <v>84</v>
      </c>
      <c r="F2083" s="2">
        <v>2</v>
      </c>
      <c r="G2083" s="2">
        <v>2</v>
      </c>
      <c r="H2083" s="2">
        <v>3</v>
      </c>
      <c r="I2083" s="2">
        <v>0</v>
      </c>
      <c r="J2083" t="str">
        <f>_xlfn.XLOOKUP(Table2[[#This Row],[Customer_ID]],Table1[Customer_ID],Table1[Customer_Name])</f>
        <v>Linn Muncy</v>
      </c>
    </row>
    <row r="2084" spans="1:10" x14ac:dyDescent="0.35">
      <c r="A2084" s="4">
        <v>41046</v>
      </c>
      <c r="B2084" s="2">
        <v>11031</v>
      </c>
      <c r="C2084" s="2">
        <v>337</v>
      </c>
      <c r="D2084" s="2">
        <v>84</v>
      </c>
      <c r="F2084" s="2">
        <v>2</v>
      </c>
      <c r="G2084" s="2">
        <v>5</v>
      </c>
      <c r="H2084" s="2">
        <v>4</v>
      </c>
      <c r="I2084" s="2">
        <v>0</v>
      </c>
      <c r="J2084" t="str">
        <f>_xlfn.XLOOKUP(Table2[[#This Row],[Customer_ID]],Table1[Customer_ID],Table1[Customer_Name])</f>
        <v>Linn Muncy</v>
      </c>
    </row>
    <row r="2085" spans="1:10" x14ac:dyDescent="0.35">
      <c r="A2085" s="4">
        <v>41046</v>
      </c>
      <c r="B2085" s="2">
        <v>11033</v>
      </c>
      <c r="C2085" s="2">
        <v>129</v>
      </c>
      <c r="D2085" s="2">
        <v>86</v>
      </c>
      <c r="F2085" s="2">
        <v>2</v>
      </c>
      <c r="G2085" s="2">
        <v>1</v>
      </c>
      <c r="H2085" s="2">
        <v>577</v>
      </c>
      <c r="I2085" s="2">
        <v>0</v>
      </c>
      <c r="J2085" t="str">
        <f>_xlfn.XLOOKUP(Table2[[#This Row],[Customer_ID]],Table1[Customer_ID],Table1[Customer_Name])</f>
        <v>Louann Luck</v>
      </c>
    </row>
    <row r="2086" spans="1:10" x14ac:dyDescent="0.35">
      <c r="A2086" s="4">
        <v>41046</v>
      </c>
      <c r="B2086" s="2">
        <v>11031</v>
      </c>
      <c r="C2086" s="2">
        <v>269</v>
      </c>
      <c r="D2086" s="2">
        <v>84</v>
      </c>
      <c r="F2086" s="2">
        <v>2</v>
      </c>
      <c r="G2086" s="2">
        <v>8</v>
      </c>
      <c r="H2086" s="2">
        <v>3</v>
      </c>
      <c r="I2086" s="2">
        <v>0</v>
      </c>
      <c r="J2086" t="str">
        <f>_xlfn.XLOOKUP(Table2[[#This Row],[Customer_ID]],Table1[Customer_ID],Table1[Customer_Name])</f>
        <v>Linn Muncy</v>
      </c>
    </row>
    <row r="2087" spans="1:10" x14ac:dyDescent="0.35">
      <c r="A2087" s="4">
        <v>41049</v>
      </c>
      <c r="B2087" s="2">
        <v>11035</v>
      </c>
      <c r="C2087" s="2">
        <v>352</v>
      </c>
      <c r="D2087" s="2">
        <v>88</v>
      </c>
      <c r="F2087" s="2">
        <v>2</v>
      </c>
      <c r="G2087" s="2">
        <v>1</v>
      </c>
      <c r="H2087" s="2">
        <v>89</v>
      </c>
      <c r="I2087" s="2">
        <v>0</v>
      </c>
      <c r="J2087" t="str">
        <f>_xlfn.XLOOKUP(Table2[[#This Row],[Customer_ID]],Table1[Customer_ID],Table1[Customer_Name])</f>
        <v>Marlene Daniell</v>
      </c>
    </row>
    <row r="2088" spans="1:10" x14ac:dyDescent="0.35">
      <c r="A2088" s="4">
        <v>41049</v>
      </c>
      <c r="B2088" s="2">
        <v>11035</v>
      </c>
      <c r="C2088" s="2">
        <v>197</v>
      </c>
      <c r="D2088" s="2">
        <v>88</v>
      </c>
      <c r="F2088" s="2">
        <v>2</v>
      </c>
      <c r="G2088" s="2">
        <v>4</v>
      </c>
      <c r="H2088" s="2">
        <v>3</v>
      </c>
      <c r="I2088" s="2">
        <v>0</v>
      </c>
      <c r="J2088" t="str">
        <f>_xlfn.XLOOKUP(Table2[[#This Row],[Customer_ID]],Table1[Customer_ID],Table1[Customer_Name])</f>
        <v>Marlene Daniell</v>
      </c>
    </row>
    <row r="2089" spans="1:10" x14ac:dyDescent="0.35">
      <c r="A2089" s="4">
        <v>41049</v>
      </c>
      <c r="B2089" s="2">
        <v>11035</v>
      </c>
      <c r="C2089" s="2">
        <v>361</v>
      </c>
      <c r="D2089" s="2">
        <v>88</v>
      </c>
      <c r="F2089" s="2">
        <v>2</v>
      </c>
      <c r="G2089" s="2">
        <v>2</v>
      </c>
      <c r="H2089" s="2">
        <v>123</v>
      </c>
      <c r="I2089" s="2">
        <v>0</v>
      </c>
      <c r="J2089" t="str">
        <f>_xlfn.XLOOKUP(Table2[[#This Row],[Customer_ID]],Table1[Customer_ID],Table1[Customer_Name])</f>
        <v>Marlene Daniell</v>
      </c>
    </row>
    <row r="2090" spans="1:10" x14ac:dyDescent="0.35">
      <c r="A2090" s="4">
        <v>41049</v>
      </c>
      <c r="B2090" s="2">
        <v>11035</v>
      </c>
      <c r="C2090" s="2">
        <v>293</v>
      </c>
      <c r="D2090" s="2">
        <v>88</v>
      </c>
      <c r="F2090" s="2">
        <v>2</v>
      </c>
      <c r="G2090" s="2">
        <v>2</v>
      </c>
      <c r="H2090" s="2">
        <v>2</v>
      </c>
      <c r="I2090" s="2">
        <v>0</v>
      </c>
      <c r="J2090" t="str">
        <f>_xlfn.XLOOKUP(Table2[[#This Row],[Customer_ID]],Table1[Customer_ID],Table1[Customer_Name])</f>
        <v>Marlene Daniell</v>
      </c>
    </row>
    <row r="2091" spans="1:10" x14ac:dyDescent="0.35">
      <c r="A2091" s="4">
        <v>41050</v>
      </c>
      <c r="B2091" s="2">
        <v>11039</v>
      </c>
      <c r="C2091" s="2">
        <v>377</v>
      </c>
      <c r="D2091" s="2">
        <v>92</v>
      </c>
      <c r="F2091" s="2">
        <v>2</v>
      </c>
      <c r="G2091" s="2">
        <v>6</v>
      </c>
      <c r="H2091" s="2">
        <v>3</v>
      </c>
      <c r="I2091" s="2">
        <v>0</v>
      </c>
      <c r="J2091" t="str">
        <f>_xlfn.XLOOKUP(Table2[[#This Row],[Customer_ID]],Table1[Customer_ID],Table1[Customer_Name])</f>
        <v>Mercedes Godin</v>
      </c>
    </row>
    <row r="2092" spans="1:10" x14ac:dyDescent="0.35">
      <c r="A2092" s="4">
        <v>41050</v>
      </c>
      <c r="B2092" s="2">
        <v>11039</v>
      </c>
      <c r="C2092" s="2">
        <v>381</v>
      </c>
      <c r="D2092" s="2">
        <v>92</v>
      </c>
      <c r="F2092" s="2">
        <v>2</v>
      </c>
      <c r="G2092" s="2">
        <v>5</v>
      </c>
      <c r="H2092" s="2">
        <v>10</v>
      </c>
      <c r="I2092" s="2">
        <v>0</v>
      </c>
      <c r="J2092" t="str">
        <f>_xlfn.XLOOKUP(Table2[[#This Row],[Customer_ID]],Table1[Customer_ID],Table1[Customer_Name])</f>
        <v>Mercedes Godin</v>
      </c>
    </row>
    <row r="2093" spans="1:10" x14ac:dyDescent="0.35">
      <c r="A2093" s="4">
        <v>41050</v>
      </c>
      <c r="B2093" s="2">
        <v>11039</v>
      </c>
      <c r="C2093" s="2">
        <v>379</v>
      </c>
      <c r="D2093" s="2">
        <v>92</v>
      </c>
      <c r="F2093" s="2">
        <v>2</v>
      </c>
      <c r="G2093" s="2">
        <v>4</v>
      </c>
      <c r="H2093" s="2">
        <v>4</v>
      </c>
      <c r="I2093" s="2">
        <v>0</v>
      </c>
      <c r="J2093" t="str">
        <f>_xlfn.XLOOKUP(Table2[[#This Row],[Customer_ID]],Table1[Customer_ID],Table1[Customer_Name])</f>
        <v>Mercedes Godin</v>
      </c>
    </row>
    <row r="2094" spans="1:10" x14ac:dyDescent="0.35">
      <c r="A2094" s="4">
        <v>41050</v>
      </c>
      <c r="B2094" s="2">
        <v>11039</v>
      </c>
      <c r="C2094" s="2">
        <v>378</v>
      </c>
      <c r="D2094" s="2">
        <v>92</v>
      </c>
      <c r="F2094" s="2">
        <v>2</v>
      </c>
      <c r="G2094" s="2">
        <v>2</v>
      </c>
      <c r="H2094" s="2">
        <v>3</v>
      </c>
      <c r="I2094" s="2">
        <v>0</v>
      </c>
      <c r="J2094" t="str">
        <f>_xlfn.XLOOKUP(Table2[[#This Row],[Customer_ID]],Table1[Customer_ID],Table1[Customer_Name])</f>
        <v>Mercedes Godin</v>
      </c>
    </row>
    <row r="2095" spans="1:10" x14ac:dyDescent="0.35">
      <c r="A2095" s="4">
        <v>41050</v>
      </c>
      <c r="B2095" s="2">
        <v>11037</v>
      </c>
      <c r="C2095" s="2">
        <v>373</v>
      </c>
      <c r="D2095" s="2">
        <v>90</v>
      </c>
      <c r="F2095" s="2">
        <v>2</v>
      </c>
      <c r="G2095" s="2">
        <v>3</v>
      </c>
      <c r="H2095" s="2">
        <v>6</v>
      </c>
      <c r="I2095" s="2">
        <v>0</v>
      </c>
      <c r="J2095" t="str">
        <f>_xlfn.XLOOKUP(Table2[[#This Row],[Customer_ID]],Table1[Customer_ID],Table1[Customer_Name])</f>
        <v>Maxwell Wengert</v>
      </c>
    </row>
    <row r="2096" spans="1:10" x14ac:dyDescent="0.35">
      <c r="A2096" s="4">
        <v>41051</v>
      </c>
      <c r="B2096" s="2">
        <v>11041</v>
      </c>
      <c r="C2096" s="2">
        <v>376</v>
      </c>
      <c r="D2096" s="2">
        <v>94</v>
      </c>
      <c r="F2096" s="2">
        <v>2</v>
      </c>
      <c r="G2096" s="2">
        <v>5</v>
      </c>
      <c r="H2096" s="2">
        <v>4</v>
      </c>
      <c r="I2096" s="2">
        <v>0</v>
      </c>
      <c r="J2096" t="str">
        <f>_xlfn.XLOOKUP(Table2[[#This Row],[Customer_ID]],Table1[Customer_ID],Table1[Customer_Name])</f>
        <v>Michelina Manners</v>
      </c>
    </row>
    <row r="2097" spans="1:10" x14ac:dyDescent="0.35">
      <c r="A2097" s="4">
        <v>41051</v>
      </c>
      <c r="B2097" s="2">
        <v>11043</v>
      </c>
      <c r="C2097" s="2">
        <v>271</v>
      </c>
      <c r="D2097" s="2">
        <v>96</v>
      </c>
      <c r="F2097" s="2">
        <v>2</v>
      </c>
      <c r="G2097" s="2">
        <v>5</v>
      </c>
      <c r="H2097" s="2">
        <v>3</v>
      </c>
      <c r="I2097" s="2">
        <v>0</v>
      </c>
      <c r="J2097" t="str">
        <f>_xlfn.XLOOKUP(Table2[[#This Row],[Customer_ID]],Table1[Customer_ID],Table1[Customer_Name])</f>
        <v>Miss Henslee</v>
      </c>
    </row>
    <row r="2098" spans="1:10" x14ac:dyDescent="0.35">
      <c r="A2098" s="4">
        <v>41051</v>
      </c>
      <c r="B2098" s="2">
        <v>11041</v>
      </c>
      <c r="C2098" s="2">
        <v>380</v>
      </c>
      <c r="D2098" s="2">
        <v>94</v>
      </c>
      <c r="F2098" s="2">
        <v>2</v>
      </c>
      <c r="G2098" s="2">
        <v>9</v>
      </c>
      <c r="H2098" s="2">
        <v>9</v>
      </c>
      <c r="I2098" s="2">
        <v>0</v>
      </c>
      <c r="J2098" t="str">
        <f>_xlfn.XLOOKUP(Table2[[#This Row],[Customer_ID]],Table1[Customer_ID],Table1[Customer_Name])</f>
        <v>Michelina Manners</v>
      </c>
    </row>
    <row r="2099" spans="1:10" x14ac:dyDescent="0.35">
      <c r="A2099" s="4">
        <v>41052</v>
      </c>
      <c r="B2099" s="2">
        <v>11045</v>
      </c>
      <c r="C2099" s="2">
        <v>267</v>
      </c>
      <c r="D2099" s="2">
        <v>98</v>
      </c>
      <c r="F2099" s="2">
        <v>2</v>
      </c>
      <c r="G2099" s="2">
        <v>6</v>
      </c>
      <c r="H2099" s="2">
        <v>3</v>
      </c>
      <c r="I2099" s="2">
        <v>0</v>
      </c>
      <c r="J2099" t="str">
        <f>_xlfn.XLOOKUP(Table2[[#This Row],[Customer_ID]],Table1[Customer_ID],Table1[Customer_Name])</f>
        <v>Myesha Mumm</v>
      </c>
    </row>
    <row r="2100" spans="1:10" x14ac:dyDescent="0.35">
      <c r="A2100" s="4">
        <v>41052</v>
      </c>
      <c r="B2100" s="2">
        <v>11045</v>
      </c>
      <c r="C2100" s="2">
        <v>273</v>
      </c>
      <c r="D2100" s="2">
        <v>98</v>
      </c>
      <c r="F2100" s="2">
        <v>2</v>
      </c>
      <c r="G2100" s="2">
        <v>6</v>
      </c>
      <c r="H2100" s="2">
        <v>3</v>
      </c>
      <c r="I2100" s="2">
        <v>0</v>
      </c>
      <c r="J2100" t="str">
        <f>_xlfn.XLOOKUP(Table2[[#This Row],[Customer_ID]],Table1[Customer_ID],Table1[Customer_Name])</f>
        <v>Myesha Mumm</v>
      </c>
    </row>
    <row r="2101" spans="1:10" x14ac:dyDescent="0.35">
      <c r="A2101" s="4">
        <v>41053</v>
      </c>
      <c r="B2101" s="2">
        <v>11049</v>
      </c>
      <c r="C2101" s="2">
        <v>213</v>
      </c>
      <c r="D2101" s="2">
        <v>2</v>
      </c>
      <c r="E2101" s="2">
        <v>21</v>
      </c>
      <c r="F2101" s="2">
        <v>2</v>
      </c>
      <c r="G2101" s="2">
        <v>5</v>
      </c>
      <c r="H2101" s="2">
        <v>2</v>
      </c>
      <c r="I2101" s="2">
        <v>0</v>
      </c>
      <c r="J2101" t="str">
        <f>_xlfn.XLOOKUP(Table2[[#This Row],[Customer_ID]],Table1[Customer_ID],Table1[Customer_Name])</f>
        <v>Alaine Kindig</v>
      </c>
    </row>
    <row r="2102" spans="1:10" x14ac:dyDescent="0.35">
      <c r="A2102" s="4">
        <v>41053</v>
      </c>
      <c r="B2102" s="2">
        <v>11047</v>
      </c>
      <c r="C2102" s="2">
        <v>424</v>
      </c>
      <c r="D2102" s="2">
        <v>100</v>
      </c>
      <c r="F2102" s="2">
        <v>2</v>
      </c>
      <c r="G2102" s="2">
        <v>2</v>
      </c>
      <c r="H2102" s="2">
        <v>12</v>
      </c>
      <c r="I2102" s="2">
        <v>0</v>
      </c>
      <c r="J2102" t="str">
        <f>_xlfn.XLOOKUP(Table2[[#This Row],[Customer_ID]],Table1[Customer_ID],Table1[Customer_Name])</f>
        <v>Natividad Grandberry</v>
      </c>
    </row>
    <row r="2103" spans="1:10" x14ac:dyDescent="0.35">
      <c r="A2103" s="4">
        <v>41053</v>
      </c>
      <c r="B2103" s="2">
        <v>11049</v>
      </c>
      <c r="C2103" s="2">
        <v>310</v>
      </c>
      <c r="D2103" s="2">
        <v>2</v>
      </c>
      <c r="E2103" s="2">
        <v>21</v>
      </c>
      <c r="F2103" s="2">
        <v>2</v>
      </c>
      <c r="G2103" s="2">
        <v>2</v>
      </c>
      <c r="H2103" s="2">
        <v>39</v>
      </c>
      <c r="I2103" s="2">
        <v>0</v>
      </c>
      <c r="J2103" t="str">
        <f>_xlfn.XLOOKUP(Table2[[#This Row],[Customer_ID]],Table1[Customer_ID],Table1[Customer_Name])</f>
        <v>Alaine Kindig</v>
      </c>
    </row>
    <row r="2104" spans="1:10" x14ac:dyDescent="0.35">
      <c r="A2104" s="4">
        <v>41053</v>
      </c>
      <c r="B2104" s="2">
        <v>11047</v>
      </c>
      <c r="C2104" s="2">
        <v>422</v>
      </c>
      <c r="D2104" s="2">
        <v>100</v>
      </c>
      <c r="F2104" s="2">
        <v>2</v>
      </c>
      <c r="G2104" s="2">
        <v>1</v>
      </c>
      <c r="H2104" s="2">
        <v>7</v>
      </c>
      <c r="I2104" s="2">
        <v>0</v>
      </c>
      <c r="J2104" t="str">
        <f>_xlfn.XLOOKUP(Table2[[#This Row],[Customer_ID]],Table1[Customer_ID],Table1[Customer_Name])</f>
        <v>Natividad Grandberry</v>
      </c>
    </row>
    <row r="2105" spans="1:10" x14ac:dyDescent="0.35">
      <c r="A2105" s="4">
        <v>41056</v>
      </c>
      <c r="B2105" s="2">
        <v>11053</v>
      </c>
      <c r="C2105" s="2">
        <v>272</v>
      </c>
      <c r="D2105" s="2">
        <v>6</v>
      </c>
      <c r="E2105" s="2">
        <v>53</v>
      </c>
      <c r="F2105" s="2">
        <v>2</v>
      </c>
      <c r="G2105" s="2">
        <v>1</v>
      </c>
      <c r="H2105" s="2">
        <v>2</v>
      </c>
      <c r="I2105" s="2">
        <v>0</v>
      </c>
      <c r="J2105" t="str">
        <f>_xlfn.XLOOKUP(Table2[[#This Row],[Customer_ID]],Table1[Customer_ID],Table1[Customer_Name])</f>
        <v>Anjelica Usrey</v>
      </c>
    </row>
    <row r="2106" spans="1:10" x14ac:dyDescent="0.35">
      <c r="A2106" s="4">
        <v>41056</v>
      </c>
      <c r="B2106" s="2">
        <v>11053</v>
      </c>
      <c r="C2106" s="2">
        <v>406</v>
      </c>
      <c r="D2106" s="2">
        <v>6</v>
      </c>
      <c r="E2106" s="2">
        <v>53</v>
      </c>
      <c r="F2106" s="2">
        <v>2</v>
      </c>
      <c r="G2106" s="2">
        <v>5</v>
      </c>
      <c r="H2106" s="2">
        <v>20</v>
      </c>
      <c r="I2106" s="2">
        <v>0</v>
      </c>
      <c r="J2106" t="str">
        <f>_xlfn.XLOOKUP(Table2[[#This Row],[Customer_ID]],Table1[Customer_ID],Table1[Customer_Name])</f>
        <v>Anjelica Usrey</v>
      </c>
    </row>
    <row r="2107" spans="1:10" x14ac:dyDescent="0.35">
      <c r="A2107" s="4">
        <v>41056</v>
      </c>
      <c r="B2107" s="2">
        <v>11051</v>
      </c>
      <c r="C2107" s="2">
        <v>223</v>
      </c>
      <c r="D2107" s="2">
        <v>4</v>
      </c>
      <c r="E2107" s="2">
        <v>71</v>
      </c>
      <c r="F2107" s="2">
        <v>2</v>
      </c>
      <c r="G2107" s="2">
        <v>5</v>
      </c>
      <c r="H2107" s="2">
        <v>4</v>
      </c>
      <c r="I2107" s="2">
        <v>0</v>
      </c>
      <c r="J2107" t="str">
        <f>_xlfn.XLOOKUP(Table2[[#This Row],[Customer_ID]],Table1[Customer_ID],Table1[Customer_Name])</f>
        <v>Andreas Armour</v>
      </c>
    </row>
    <row r="2108" spans="1:10" x14ac:dyDescent="0.35">
      <c r="A2108" s="4">
        <v>41056</v>
      </c>
      <c r="B2108" s="2">
        <v>11053</v>
      </c>
      <c r="C2108" s="2">
        <v>220</v>
      </c>
      <c r="D2108" s="2">
        <v>6</v>
      </c>
      <c r="E2108" s="2">
        <v>53</v>
      </c>
      <c r="F2108" s="2">
        <v>2</v>
      </c>
      <c r="G2108" s="2">
        <v>1</v>
      </c>
      <c r="H2108" s="2">
        <v>5</v>
      </c>
      <c r="I2108" s="2">
        <v>0</v>
      </c>
      <c r="J2108" t="str">
        <f>_xlfn.XLOOKUP(Table2[[#This Row],[Customer_ID]],Table1[Customer_ID],Table1[Customer_Name])</f>
        <v>Anjelica Usrey</v>
      </c>
    </row>
    <row r="2109" spans="1:10" x14ac:dyDescent="0.35">
      <c r="A2109" s="4">
        <v>41057</v>
      </c>
      <c r="B2109" s="2">
        <v>11055</v>
      </c>
      <c r="C2109" s="2">
        <v>276</v>
      </c>
      <c r="D2109" s="2">
        <v>8</v>
      </c>
      <c r="E2109" s="2">
        <v>60</v>
      </c>
      <c r="F2109" s="2">
        <v>2</v>
      </c>
      <c r="G2109" s="2">
        <v>3</v>
      </c>
      <c r="H2109" s="2">
        <v>3</v>
      </c>
      <c r="I2109" s="2">
        <v>0</v>
      </c>
      <c r="J2109" t="str">
        <f>_xlfn.XLOOKUP(Table2[[#This Row],[Customer_ID]],Table1[Customer_ID],Table1[Customer_Name])</f>
        <v>Ashley Ables</v>
      </c>
    </row>
    <row r="2110" spans="1:10" x14ac:dyDescent="0.35">
      <c r="A2110" s="4">
        <v>41057</v>
      </c>
      <c r="B2110" s="2">
        <v>11055</v>
      </c>
      <c r="C2110" s="2">
        <v>279</v>
      </c>
      <c r="D2110" s="2">
        <v>8</v>
      </c>
      <c r="E2110" s="2">
        <v>60</v>
      </c>
      <c r="F2110" s="2">
        <v>2</v>
      </c>
      <c r="G2110" s="2">
        <v>2</v>
      </c>
      <c r="H2110" s="2">
        <v>4</v>
      </c>
      <c r="I2110" s="2">
        <v>0</v>
      </c>
      <c r="J2110" t="str">
        <f>_xlfn.XLOOKUP(Table2[[#This Row],[Customer_ID]],Table1[Customer_ID],Table1[Customer_Name])</f>
        <v>Ashley Ables</v>
      </c>
    </row>
    <row r="2111" spans="1:10" x14ac:dyDescent="0.35">
      <c r="A2111" s="4">
        <v>41057</v>
      </c>
      <c r="B2111" s="2">
        <v>11055</v>
      </c>
      <c r="C2111" s="2">
        <v>274</v>
      </c>
      <c r="D2111" s="2">
        <v>8</v>
      </c>
      <c r="E2111" s="2">
        <v>60</v>
      </c>
      <c r="F2111" s="2">
        <v>2</v>
      </c>
      <c r="G2111" s="2">
        <v>2</v>
      </c>
      <c r="H2111" s="2">
        <v>3</v>
      </c>
      <c r="I2111" s="2">
        <v>0</v>
      </c>
      <c r="J2111" t="str">
        <f>_xlfn.XLOOKUP(Table2[[#This Row],[Customer_ID]],Table1[Customer_ID],Table1[Customer_Name])</f>
        <v>Ashley Ables</v>
      </c>
    </row>
    <row r="2112" spans="1:10" x14ac:dyDescent="0.35">
      <c r="A2112" s="4">
        <v>41057</v>
      </c>
      <c r="B2112" s="2">
        <v>11055</v>
      </c>
      <c r="C2112" s="2">
        <v>246</v>
      </c>
      <c r="D2112" s="2">
        <v>8</v>
      </c>
      <c r="E2112" s="2">
        <v>60</v>
      </c>
      <c r="F2112" s="2">
        <v>2</v>
      </c>
      <c r="G2112" s="2">
        <v>1</v>
      </c>
      <c r="H2112" s="2">
        <v>3</v>
      </c>
      <c r="I2112" s="2">
        <v>0</v>
      </c>
      <c r="J2112" t="str">
        <f>_xlfn.XLOOKUP(Table2[[#This Row],[Customer_ID]],Table1[Customer_ID],Table1[Customer_Name])</f>
        <v>Ashley Ables</v>
      </c>
    </row>
    <row r="2113" spans="1:10" x14ac:dyDescent="0.35">
      <c r="A2113" s="4">
        <v>41058</v>
      </c>
      <c r="B2113" s="2">
        <v>11059</v>
      </c>
      <c r="C2113" s="2">
        <v>152</v>
      </c>
      <c r="D2113" s="2">
        <v>12</v>
      </c>
      <c r="E2113" s="2">
        <v>63</v>
      </c>
      <c r="F2113" s="2">
        <v>2</v>
      </c>
      <c r="G2113" s="2">
        <v>4</v>
      </c>
      <c r="H2113" s="2">
        <v>517</v>
      </c>
      <c r="I2113" s="2">
        <v>0</v>
      </c>
      <c r="J2113" t="str">
        <f>_xlfn.XLOOKUP(Table2[[#This Row],[Customer_ID]],Table1[Customer_ID],Table1[Customer_Name])</f>
        <v>Brittney Edmond</v>
      </c>
    </row>
    <row r="2114" spans="1:10" x14ac:dyDescent="0.35">
      <c r="A2114" s="4">
        <v>41058</v>
      </c>
      <c r="B2114" s="2">
        <v>11059</v>
      </c>
      <c r="C2114" s="2">
        <v>148</v>
      </c>
      <c r="D2114" s="2">
        <v>12</v>
      </c>
      <c r="E2114" s="2">
        <v>63</v>
      </c>
      <c r="F2114" s="2">
        <v>2</v>
      </c>
      <c r="G2114" s="2">
        <v>3</v>
      </c>
      <c r="H2114" s="2">
        <v>444</v>
      </c>
      <c r="I2114" s="2">
        <v>0</v>
      </c>
      <c r="J2114" t="str">
        <f>_xlfn.XLOOKUP(Table2[[#This Row],[Customer_ID]],Table1[Customer_ID],Table1[Customer_Name])</f>
        <v>Brittney Edmond</v>
      </c>
    </row>
    <row r="2115" spans="1:10" x14ac:dyDescent="0.35">
      <c r="A2115" s="4">
        <v>41058</v>
      </c>
      <c r="B2115" s="2">
        <v>11057</v>
      </c>
      <c r="C2115" s="2">
        <v>201</v>
      </c>
      <c r="D2115" s="2">
        <v>10</v>
      </c>
      <c r="E2115" s="2">
        <v>22</v>
      </c>
      <c r="F2115" s="2">
        <v>2</v>
      </c>
      <c r="G2115" s="2">
        <v>2</v>
      </c>
      <c r="H2115" s="2">
        <v>4</v>
      </c>
      <c r="I2115" s="2">
        <v>0</v>
      </c>
      <c r="J2115" t="str">
        <f>_xlfn.XLOOKUP(Table2[[#This Row],[Customer_ID]],Table1[Customer_ID],Table1[Customer_Name])</f>
        <v>Berniece Blakely</v>
      </c>
    </row>
    <row r="2116" spans="1:10" x14ac:dyDescent="0.35">
      <c r="A2116" s="4">
        <v>41058</v>
      </c>
      <c r="B2116" s="2">
        <v>11059</v>
      </c>
      <c r="C2116" s="2">
        <v>161</v>
      </c>
      <c r="D2116" s="2">
        <v>12</v>
      </c>
      <c r="E2116" s="2">
        <v>63</v>
      </c>
      <c r="F2116" s="2">
        <v>2</v>
      </c>
      <c r="G2116" s="2">
        <v>2</v>
      </c>
      <c r="H2116" s="2">
        <v>5759</v>
      </c>
      <c r="I2116" s="2">
        <v>0</v>
      </c>
      <c r="J2116" t="str">
        <f>_xlfn.XLOOKUP(Table2[[#This Row],[Customer_ID]],Table1[Customer_ID],Table1[Customer_Name])</f>
        <v>Brittney Edmond</v>
      </c>
    </row>
    <row r="2117" spans="1:10" x14ac:dyDescent="0.35">
      <c r="A2117" s="4">
        <v>41059</v>
      </c>
      <c r="B2117" s="2">
        <v>11063</v>
      </c>
      <c r="C2117" s="2">
        <v>429</v>
      </c>
      <c r="D2117" s="2">
        <v>16</v>
      </c>
      <c r="E2117" s="2">
        <v>38</v>
      </c>
      <c r="F2117" s="2">
        <v>2</v>
      </c>
      <c r="G2117" s="2">
        <v>2</v>
      </c>
      <c r="H2117" s="2">
        <v>14</v>
      </c>
      <c r="I2117" s="2">
        <v>0</v>
      </c>
      <c r="J2117" t="str">
        <f>_xlfn.XLOOKUP(Table2[[#This Row],[Customer_ID]],Table1[Customer_ID],Table1[Customer_Name])</f>
        <v>Casandra Flewelling</v>
      </c>
    </row>
    <row r="2118" spans="1:10" x14ac:dyDescent="0.35">
      <c r="A2118" s="4">
        <v>41059</v>
      </c>
      <c r="B2118" s="2">
        <v>11061</v>
      </c>
      <c r="C2118" s="2">
        <v>163</v>
      </c>
      <c r="D2118" s="2">
        <v>14</v>
      </c>
      <c r="E2118" s="2">
        <v>34</v>
      </c>
      <c r="F2118" s="2">
        <v>2</v>
      </c>
      <c r="G2118" s="2">
        <v>3</v>
      </c>
      <c r="H2118" s="2">
        <v>2533</v>
      </c>
      <c r="I2118" s="2">
        <v>0</v>
      </c>
      <c r="J2118" t="str">
        <f>_xlfn.XLOOKUP(Table2[[#This Row],[Customer_ID]],Table1[Customer_ID],Table1[Customer_Name])</f>
        <v>Cari Craw</v>
      </c>
    </row>
    <row r="2119" spans="1:10" x14ac:dyDescent="0.35">
      <c r="A2119" s="4">
        <v>41059</v>
      </c>
      <c r="B2119" s="2">
        <v>11063</v>
      </c>
      <c r="C2119" s="2">
        <v>439</v>
      </c>
      <c r="D2119" s="2">
        <v>16</v>
      </c>
      <c r="E2119" s="2">
        <v>38</v>
      </c>
      <c r="F2119" s="2">
        <v>2</v>
      </c>
      <c r="G2119" s="2">
        <v>4</v>
      </c>
      <c r="H2119" s="2">
        <v>10</v>
      </c>
      <c r="I2119" s="2">
        <v>0</v>
      </c>
      <c r="J2119" t="str">
        <f>_xlfn.XLOOKUP(Table2[[#This Row],[Customer_ID]],Table1[Customer_ID],Table1[Customer_Name])</f>
        <v>Casandra Flewelling</v>
      </c>
    </row>
    <row r="2120" spans="1:10" x14ac:dyDescent="0.35">
      <c r="A2120" s="4">
        <v>41059</v>
      </c>
      <c r="B2120" s="2">
        <v>11063</v>
      </c>
      <c r="C2120" s="2">
        <v>155</v>
      </c>
      <c r="D2120" s="2">
        <v>16</v>
      </c>
      <c r="E2120" s="2">
        <v>38</v>
      </c>
      <c r="F2120" s="2">
        <v>2</v>
      </c>
      <c r="G2120" s="2">
        <v>7</v>
      </c>
      <c r="H2120" s="2">
        <v>852</v>
      </c>
      <c r="I2120" s="2">
        <v>0</v>
      </c>
      <c r="J2120" t="str">
        <f>_xlfn.XLOOKUP(Table2[[#This Row],[Customer_ID]],Table1[Customer_ID],Table1[Customer_Name])</f>
        <v>Casandra Flewelling</v>
      </c>
    </row>
    <row r="2121" spans="1:10" x14ac:dyDescent="0.35">
      <c r="A2121" s="4">
        <v>41060</v>
      </c>
      <c r="B2121" s="2">
        <v>11065</v>
      </c>
      <c r="C2121" s="2">
        <v>68</v>
      </c>
      <c r="D2121" s="2">
        <v>18</v>
      </c>
      <c r="E2121" s="2">
        <v>40</v>
      </c>
      <c r="F2121" s="2">
        <v>2</v>
      </c>
      <c r="G2121" s="2">
        <v>6</v>
      </c>
      <c r="H2121" s="2">
        <v>23</v>
      </c>
      <c r="I2121" s="2">
        <v>0</v>
      </c>
      <c r="J2121" t="str">
        <f>_xlfn.XLOOKUP(Table2[[#This Row],[Customer_ID]],Table1[Customer_ID],Table1[Customer_Name])</f>
        <v>Cecilia Crossman</v>
      </c>
    </row>
    <row r="2122" spans="1:10" x14ac:dyDescent="0.35">
      <c r="A2122" s="4">
        <v>41060</v>
      </c>
      <c r="B2122" s="2">
        <v>11065</v>
      </c>
      <c r="C2122" s="2">
        <v>18</v>
      </c>
      <c r="D2122" s="2">
        <v>18</v>
      </c>
      <c r="E2122" s="2">
        <v>40</v>
      </c>
      <c r="F2122" s="2">
        <v>2</v>
      </c>
      <c r="G2122" s="2">
        <v>1</v>
      </c>
      <c r="H2122" s="2">
        <v>154</v>
      </c>
      <c r="I2122" s="2">
        <v>0</v>
      </c>
      <c r="J2122" t="str">
        <f>_xlfn.XLOOKUP(Table2[[#This Row],[Customer_ID]],Table1[Customer_ID],Table1[Customer_Name])</f>
        <v>Cecilia Crossman</v>
      </c>
    </row>
    <row r="2123" spans="1:10" x14ac:dyDescent="0.35">
      <c r="A2123" s="4">
        <v>41063</v>
      </c>
      <c r="B2123" s="2">
        <v>11069</v>
      </c>
      <c r="C2123" s="2">
        <v>16</v>
      </c>
      <c r="D2123" s="2">
        <v>22</v>
      </c>
      <c r="E2123" s="2">
        <v>49</v>
      </c>
      <c r="F2123" s="2">
        <v>2</v>
      </c>
      <c r="G2123" s="2">
        <v>1</v>
      </c>
      <c r="H2123" s="2">
        <v>351</v>
      </c>
      <c r="I2123" s="2">
        <v>0</v>
      </c>
      <c r="J2123" t="str">
        <f>_xlfn.XLOOKUP(Table2[[#This Row],[Customer_ID]],Table1[Customer_ID],Table1[Customer_Name])</f>
        <v>Colleen Coplin</v>
      </c>
    </row>
    <row r="2124" spans="1:10" x14ac:dyDescent="0.35">
      <c r="A2124" s="4">
        <v>41063</v>
      </c>
      <c r="B2124" s="2">
        <v>11067</v>
      </c>
      <c r="C2124" s="2">
        <v>12</v>
      </c>
      <c r="D2124" s="2">
        <v>20</v>
      </c>
      <c r="E2124" s="2">
        <v>42</v>
      </c>
      <c r="F2124" s="2">
        <v>2</v>
      </c>
      <c r="G2124" s="2">
        <v>5</v>
      </c>
      <c r="H2124" s="2">
        <v>592</v>
      </c>
      <c r="I2124" s="2">
        <v>0</v>
      </c>
      <c r="J2124" t="str">
        <f>_xlfn.XLOOKUP(Table2[[#This Row],[Customer_ID]],Table1[Customer_ID],Table1[Customer_Name])</f>
        <v>Chelsey Powers</v>
      </c>
    </row>
    <row r="2125" spans="1:10" x14ac:dyDescent="0.35">
      <c r="A2125" s="4">
        <v>41064</v>
      </c>
      <c r="B2125" s="2">
        <v>11071</v>
      </c>
      <c r="C2125" s="2">
        <v>408</v>
      </c>
      <c r="D2125" s="2">
        <v>24</v>
      </c>
      <c r="E2125" s="2">
        <v>59</v>
      </c>
      <c r="F2125" s="2">
        <v>2</v>
      </c>
      <c r="G2125" s="2">
        <v>1</v>
      </c>
      <c r="H2125" s="2">
        <v>20</v>
      </c>
      <c r="I2125" s="2">
        <v>0</v>
      </c>
      <c r="J2125" t="str">
        <f>_xlfn.XLOOKUP(Table2[[#This Row],[Customer_ID]],Table1[Customer_ID],Table1[Customer_Name])</f>
        <v>Corrinne Cataldo</v>
      </c>
    </row>
    <row r="2126" spans="1:10" x14ac:dyDescent="0.35">
      <c r="A2126" s="4">
        <v>41064</v>
      </c>
      <c r="B2126" s="2">
        <v>11071</v>
      </c>
      <c r="C2126" s="2">
        <v>421</v>
      </c>
      <c r="D2126" s="2">
        <v>24</v>
      </c>
      <c r="E2126" s="2">
        <v>59</v>
      </c>
      <c r="F2126" s="2">
        <v>2</v>
      </c>
      <c r="G2126" s="2">
        <v>1</v>
      </c>
      <c r="H2126" s="2">
        <v>8</v>
      </c>
      <c r="I2126" s="2">
        <v>0</v>
      </c>
      <c r="J2126" t="str">
        <f>_xlfn.XLOOKUP(Table2[[#This Row],[Customer_ID]],Table1[Customer_ID],Table1[Customer_Name])</f>
        <v>Corrinne Cataldo</v>
      </c>
    </row>
    <row r="2127" spans="1:10" x14ac:dyDescent="0.35">
      <c r="A2127" s="4">
        <v>41064</v>
      </c>
      <c r="B2127" s="2">
        <v>11073</v>
      </c>
      <c r="C2127" s="2">
        <v>168</v>
      </c>
      <c r="D2127" s="2">
        <v>26</v>
      </c>
      <c r="E2127" s="2">
        <v>94</v>
      </c>
      <c r="F2127" s="2">
        <v>2</v>
      </c>
      <c r="G2127" s="2">
        <v>2</v>
      </c>
      <c r="H2127" s="2">
        <v>205</v>
      </c>
      <c r="I2127" s="2">
        <v>0</v>
      </c>
      <c r="J2127" t="str">
        <f>_xlfn.XLOOKUP(Table2[[#This Row],[Customer_ID]],Table1[Customer_ID],Table1[Customer_Name])</f>
        <v>Cyndy Collie</v>
      </c>
    </row>
    <row r="2128" spans="1:10" x14ac:dyDescent="0.35">
      <c r="A2128" s="4">
        <v>41064</v>
      </c>
      <c r="B2128" s="2">
        <v>11073</v>
      </c>
      <c r="C2128" s="2">
        <v>135</v>
      </c>
      <c r="D2128" s="2">
        <v>26</v>
      </c>
      <c r="E2128" s="2">
        <v>94</v>
      </c>
      <c r="F2128" s="2">
        <v>2</v>
      </c>
      <c r="G2128" s="2">
        <v>1</v>
      </c>
      <c r="H2128" s="2">
        <v>141</v>
      </c>
      <c r="I2128" s="2">
        <v>0</v>
      </c>
      <c r="J2128" t="str">
        <f>_xlfn.XLOOKUP(Table2[[#This Row],[Customer_ID]],Table1[Customer_ID],Table1[Customer_Name])</f>
        <v>Cyndy Collie</v>
      </c>
    </row>
    <row r="2129" spans="1:10" x14ac:dyDescent="0.35">
      <c r="A2129" s="4">
        <v>41065</v>
      </c>
      <c r="B2129" s="2">
        <v>11077</v>
      </c>
      <c r="C2129" s="2">
        <v>66</v>
      </c>
      <c r="D2129" s="2">
        <v>30</v>
      </c>
      <c r="E2129" s="2">
        <v>34</v>
      </c>
      <c r="F2129" s="2">
        <v>2</v>
      </c>
      <c r="G2129" s="2">
        <v>4</v>
      </c>
      <c r="H2129" s="2">
        <v>5</v>
      </c>
      <c r="I2129" s="2">
        <v>0</v>
      </c>
      <c r="J2129" t="str">
        <f>_xlfn.XLOOKUP(Table2[[#This Row],[Customer_ID]],Table1[Customer_ID],Table1[Customer_Name])</f>
        <v>Dinah Trusty</v>
      </c>
    </row>
    <row r="2130" spans="1:10" x14ac:dyDescent="0.35">
      <c r="A2130" s="4">
        <v>41065</v>
      </c>
      <c r="B2130" s="2">
        <v>11077</v>
      </c>
      <c r="C2130" s="2">
        <v>30</v>
      </c>
      <c r="D2130" s="2">
        <v>30</v>
      </c>
      <c r="E2130" s="2">
        <v>33</v>
      </c>
      <c r="F2130" s="2">
        <v>2</v>
      </c>
      <c r="G2130" s="2">
        <v>5</v>
      </c>
      <c r="H2130" s="2">
        <v>12</v>
      </c>
      <c r="I2130" s="2">
        <v>0</v>
      </c>
      <c r="J2130" t="str">
        <f>_xlfn.XLOOKUP(Table2[[#This Row],[Customer_ID]],Table1[Customer_ID],Table1[Customer_Name])</f>
        <v>Dinah Trusty</v>
      </c>
    </row>
    <row r="2131" spans="1:10" x14ac:dyDescent="0.35">
      <c r="A2131" s="4">
        <v>41065</v>
      </c>
      <c r="B2131" s="2">
        <v>11077</v>
      </c>
      <c r="C2131" s="2">
        <v>35</v>
      </c>
      <c r="D2131" s="2">
        <v>30</v>
      </c>
      <c r="E2131" s="2">
        <v>33</v>
      </c>
      <c r="F2131" s="2">
        <v>2</v>
      </c>
      <c r="G2131" s="2">
        <v>8</v>
      </c>
      <c r="H2131" s="2">
        <v>17</v>
      </c>
      <c r="I2131" s="2">
        <v>0</v>
      </c>
      <c r="J2131" t="str">
        <f>_xlfn.XLOOKUP(Table2[[#This Row],[Customer_ID]],Table1[Customer_ID],Table1[Customer_Name])</f>
        <v>Dinah Trusty</v>
      </c>
    </row>
    <row r="2132" spans="1:10" x14ac:dyDescent="0.35">
      <c r="A2132" s="4">
        <v>41065</v>
      </c>
      <c r="B2132" s="2">
        <v>11077</v>
      </c>
      <c r="C2132" s="2">
        <v>403</v>
      </c>
      <c r="D2132" s="2">
        <v>30</v>
      </c>
      <c r="E2132" s="2">
        <v>33</v>
      </c>
      <c r="F2132" s="2">
        <v>2</v>
      </c>
      <c r="G2132" s="2">
        <v>4</v>
      </c>
      <c r="H2132" s="2">
        <v>18</v>
      </c>
      <c r="I2132" s="2">
        <v>0</v>
      </c>
      <c r="J2132" t="str">
        <f>_xlfn.XLOOKUP(Table2[[#This Row],[Customer_ID]],Table1[Customer_ID],Table1[Customer_Name])</f>
        <v>Dinah Trusty</v>
      </c>
    </row>
    <row r="2133" spans="1:10" x14ac:dyDescent="0.35">
      <c r="A2133" s="4">
        <v>41065</v>
      </c>
      <c r="B2133" s="2">
        <v>11077</v>
      </c>
      <c r="C2133" s="2">
        <v>347</v>
      </c>
      <c r="D2133" s="2">
        <v>30</v>
      </c>
      <c r="E2133" s="2">
        <v>33</v>
      </c>
      <c r="F2133" s="2">
        <v>2</v>
      </c>
      <c r="G2133" s="2">
        <v>2</v>
      </c>
      <c r="H2133" s="2">
        <v>5</v>
      </c>
      <c r="I2133" s="2">
        <v>0</v>
      </c>
      <c r="J2133" t="str">
        <f>_xlfn.XLOOKUP(Table2[[#This Row],[Customer_ID]],Table1[Customer_ID],Table1[Customer_Name])</f>
        <v>Dinah Trusty</v>
      </c>
    </row>
    <row r="2134" spans="1:10" x14ac:dyDescent="0.35">
      <c r="A2134" s="4">
        <v>41065</v>
      </c>
      <c r="B2134" s="2">
        <v>11077</v>
      </c>
      <c r="C2134" s="2">
        <v>360</v>
      </c>
      <c r="D2134" s="2">
        <v>30</v>
      </c>
      <c r="E2134" s="2">
        <v>33</v>
      </c>
      <c r="F2134" s="2">
        <v>2</v>
      </c>
      <c r="G2134" s="2">
        <v>6</v>
      </c>
      <c r="H2134" s="2">
        <v>45</v>
      </c>
      <c r="I2134" s="2">
        <v>0</v>
      </c>
      <c r="J2134" t="str">
        <f>_xlfn.XLOOKUP(Table2[[#This Row],[Customer_ID]],Table1[Customer_ID],Table1[Customer_Name])</f>
        <v>Dinah Trusty</v>
      </c>
    </row>
    <row r="2135" spans="1:10" x14ac:dyDescent="0.35">
      <c r="A2135" s="4">
        <v>41065</v>
      </c>
      <c r="B2135" s="2">
        <v>11077</v>
      </c>
      <c r="C2135" s="2">
        <v>436</v>
      </c>
      <c r="D2135" s="2">
        <v>30</v>
      </c>
      <c r="E2135" s="2">
        <v>33</v>
      </c>
      <c r="F2135" s="2">
        <v>2</v>
      </c>
      <c r="G2135" s="2">
        <v>2</v>
      </c>
      <c r="H2135" s="2">
        <v>8</v>
      </c>
      <c r="I2135" s="2">
        <v>0</v>
      </c>
      <c r="J2135" t="str">
        <f>_xlfn.XLOOKUP(Table2[[#This Row],[Customer_ID]],Table1[Customer_ID],Table1[Customer_Name])</f>
        <v>Dinah Trusty</v>
      </c>
    </row>
    <row r="2136" spans="1:10" x14ac:dyDescent="0.35">
      <c r="A2136" s="4">
        <v>41065</v>
      </c>
      <c r="B2136" s="2">
        <v>11077</v>
      </c>
      <c r="C2136" s="2">
        <v>31</v>
      </c>
      <c r="D2136" s="2">
        <v>30</v>
      </c>
      <c r="E2136" s="2">
        <v>33</v>
      </c>
      <c r="F2136" s="2">
        <v>2</v>
      </c>
      <c r="G2136" s="2">
        <v>1</v>
      </c>
      <c r="H2136" s="2">
        <v>8</v>
      </c>
      <c r="I2136" s="2">
        <v>0</v>
      </c>
      <c r="J2136" t="str">
        <f>_xlfn.XLOOKUP(Table2[[#This Row],[Customer_ID]],Table1[Customer_ID],Table1[Customer_Name])</f>
        <v>Dinah Trusty</v>
      </c>
    </row>
    <row r="2137" spans="1:10" x14ac:dyDescent="0.35">
      <c r="A2137" s="4">
        <v>41065</v>
      </c>
      <c r="B2137" s="2">
        <v>11077</v>
      </c>
      <c r="C2137" s="2">
        <v>325</v>
      </c>
      <c r="D2137" s="2">
        <v>30</v>
      </c>
      <c r="E2137" s="2">
        <v>33</v>
      </c>
      <c r="F2137" s="2">
        <v>2</v>
      </c>
      <c r="G2137" s="2">
        <v>3</v>
      </c>
      <c r="H2137" s="2">
        <v>66</v>
      </c>
      <c r="I2137" s="2">
        <v>0</v>
      </c>
      <c r="J2137" t="str">
        <f>_xlfn.XLOOKUP(Table2[[#This Row],[Customer_ID]],Table1[Customer_ID],Table1[Customer_Name])</f>
        <v>Dinah Trusty</v>
      </c>
    </row>
    <row r="2138" spans="1:10" x14ac:dyDescent="0.35">
      <c r="A2138" s="4">
        <v>41065</v>
      </c>
      <c r="B2138" s="2">
        <v>11077</v>
      </c>
      <c r="C2138" s="2">
        <v>294</v>
      </c>
      <c r="D2138" s="2">
        <v>30</v>
      </c>
      <c r="E2138" s="2">
        <v>33</v>
      </c>
      <c r="F2138" s="2">
        <v>2</v>
      </c>
      <c r="G2138" s="2">
        <v>7</v>
      </c>
      <c r="H2138" s="2">
        <v>3</v>
      </c>
      <c r="I2138" s="2">
        <v>0</v>
      </c>
      <c r="J2138" t="str">
        <f>_xlfn.XLOOKUP(Table2[[#This Row],[Customer_ID]],Table1[Customer_ID],Table1[Customer_Name])</f>
        <v>Dinah Trusty</v>
      </c>
    </row>
    <row r="2139" spans="1:10" x14ac:dyDescent="0.35">
      <c r="A2139" s="4">
        <v>41065</v>
      </c>
      <c r="B2139" s="2">
        <v>11077</v>
      </c>
      <c r="C2139" s="2">
        <v>301</v>
      </c>
      <c r="D2139" s="2">
        <v>30</v>
      </c>
      <c r="E2139" s="2">
        <v>33</v>
      </c>
      <c r="F2139" s="2">
        <v>2</v>
      </c>
      <c r="G2139" s="2">
        <v>6</v>
      </c>
      <c r="H2139" s="2">
        <v>26</v>
      </c>
      <c r="I2139" s="2">
        <v>0</v>
      </c>
      <c r="J2139" t="str">
        <f>_xlfn.XLOOKUP(Table2[[#This Row],[Customer_ID]],Table1[Customer_ID],Table1[Customer_Name])</f>
        <v>Dinah Trusty</v>
      </c>
    </row>
    <row r="2140" spans="1:10" x14ac:dyDescent="0.35">
      <c r="A2140" s="4">
        <v>41065</v>
      </c>
      <c r="B2140" s="2">
        <v>11077</v>
      </c>
      <c r="C2140" s="2">
        <v>319</v>
      </c>
      <c r="D2140" s="2">
        <v>30</v>
      </c>
      <c r="E2140" s="2">
        <v>33</v>
      </c>
      <c r="F2140" s="2">
        <v>2</v>
      </c>
      <c r="G2140" s="2">
        <v>1</v>
      </c>
      <c r="H2140" s="2">
        <v>4</v>
      </c>
      <c r="I2140" s="2">
        <v>0</v>
      </c>
      <c r="J2140" t="str">
        <f>_xlfn.XLOOKUP(Table2[[#This Row],[Customer_ID]],Table1[Customer_ID],Table1[Customer_Name])</f>
        <v>Dinah Trusty</v>
      </c>
    </row>
    <row r="2141" spans="1:10" x14ac:dyDescent="0.35">
      <c r="A2141" s="4">
        <v>41065</v>
      </c>
      <c r="B2141" s="2">
        <v>11077</v>
      </c>
      <c r="C2141" s="2">
        <v>41</v>
      </c>
      <c r="D2141" s="2">
        <v>30</v>
      </c>
      <c r="E2141" s="2">
        <v>33</v>
      </c>
      <c r="F2141" s="2">
        <v>2</v>
      </c>
      <c r="G2141" s="2">
        <v>3</v>
      </c>
      <c r="H2141" s="2">
        <v>90</v>
      </c>
      <c r="I2141" s="2">
        <v>0</v>
      </c>
      <c r="J2141" t="str">
        <f>_xlfn.XLOOKUP(Table2[[#This Row],[Customer_ID]],Table1[Customer_ID],Table1[Customer_Name])</f>
        <v>Dinah Trusty</v>
      </c>
    </row>
    <row r="2142" spans="1:10" x14ac:dyDescent="0.35">
      <c r="A2142" s="4">
        <v>41065</v>
      </c>
      <c r="B2142" s="2">
        <v>11077</v>
      </c>
      <c r="C2142" s="2">
        <v>351</v>
      </c>
      <c r="D2142" s="2">
        <v>30</v>
      </c>
      <c r="E2142" s="2">
        <v>33</v>
      </c>
      <c r="F2142" s="2">
        <v>2</v>
      </c>
      <c r="G2142" s="2">
        <v>2</v>
      </c>
      <c r="H2142" s="2">
        <v>66</v>
      </c>
      <c r="I2142" s="2">
        <v>0</v>
      </c>
      <c r="J2142" t="str">
        <f>_xlfn.XLOOKUP(Table2[[#This Row],[Customer_ID]],Table1[Customer_ID],Table1[Customer_Name])</f>
        <v>Dinah Trusty</v>
      </c>
    </row>
    <row r="2143" spans="1:10" x14ac:dyDescent="0.35">
      <c r="A2143" s="4">
        <v>41065</v>
      </c>
      <c r="B2143" s="2">
        <v>11077</v>
      </c>
      <c r="C2143" s="2">
        <v>287</v>
      </c>
      <c r="D2143" s="2">
        <v>30</v>
      </c>
      <c r="E2143" s="2">
        <v>33</v>
      </c>
      <c r="F2143" s="2">
        <v>2</v>
      </c>
      <c r="G2143" s="2">
        <v>6</v>
      </c>
      <c r="H2143" s="2">
        <v>3</v>
      </c>
      <c r="I2143" s="2">
        <v>0</v>
      </c>
      <c r="J2143" t="str">
        <f>_xlfn.XLOOKUP(Table2[[#This Row],[Customer_ID]],Table1[Customer_ID],Table1[Customer_Name])</f>
        <v>Dinah Trusty</v>
      </c>
    </row>
    <row r="2144" spans="1:10" x14ac:dyDescent="0.35">
      <c r="A2144" s="4">
        <v>41065</v>
      </c>
      <c r="B2144" s="2">
        <v>11075</v>
      </c>
      <c r="C2144" s="2">
        <v>242</v>
      </c>
      <c r="D2144" s="2">
        <v>28</v>
      </c>
      <c r="E2144" s="2">
        <v>26</v>
      </c>
      <c r="F2144" s="2">
        <v>2</v>
      </c>
      <c r="G2144" s="2">
        <v>2</v>
      </c>
      <c r="H2144" s="2">
        <v>20</v>
      </c>
      <c r="I2144" s="2">
        <v>0</v>
      </c>
      <c r="J2144" t="str">
        <f>_xlfn.XLOOKUP(Table2[[#This Row],[Customer_ID]],Table1[Customer_ID],Table1[Customer_Name])</f>
        <v>Delena Hulin</v>
      </c>
    </row>
    <row r="2145" spans="1:10" x14ac:dyDescent="0.35">
      <c r="A2145" s="4">
        <v>41065</v>
      </c>
      <c r="B2145" s="2">
        <v>11077</v>
      </c>
      <c r="C2145" s="2">
        <v>290</v>
      </c>
      <c r="D2145" s="2">
        <v>30</v>
      </c>
      <c r="E2145" s="2">
        <v>34</v>
      </c>
      <c r="F2145" s="2">
        <v>2</v>
      </c>
      <c r="G2145" s="2">
        <v>9</v>
      </c>
      <c r="H2145" s="2">
        <v>9</v>
      </c>
      <c r="I2145" s="2">
        <v>0</v>
      </c>
      <c r="J2145" t="str">
        <f>_xlfn.XLOOKUP(Table2[[#This Row],[Customer_ID]],Table1[Customer_ID],Table1[Customer_Name])</f>
        <v>Dinah Trusty</v>
      </c>
    </row>
    <row r="2146" spans="1:10" x14ac:dyDescent="0.35">
      <c r="A2146" s="4">
        <v>41065</v>
      </c>
      <c r="B2146" s="2">
        <v>11077</v>
      </c>
      <c r="C2146" s="2">
        <v>238</v>
      </c>
      <c r="D2146" s="2">
        <v>30</v>
      </c>
      <c r="E2146" s="2">
        <v>33</v>
      </c>
      <c r="F2146" s="2">
        <v>2</v>
      </c>
      <c r="G2146" s="2">
        <v>1</v>
      </c>
      <c r="H2146" s="2">
        <v>24</v>
      </c>
      <c r="I2146" s="2">
        <v>0</v>
      </c>
      <c r="J2146" t="str">
        <f>_xlfn.XLOOKUP(Table2[[#This Row],[Customer_ID]],Table1[Customer_ID],Table1[Customer_Name])</f>
        <v>Dinah Trusty</v>
      </c>
    </row>
    <row r="2147" spans="1:10" x14ac:dyDescent="0.35">
      <c r="A2147" s="4">
        <v>41065</v>
      </c>
      <c r="B2147" s="2">
        <v>11075</v>
      </c>
      <c r="C2147" s="2">
        <v>173</v>
      </c>
      <c r="D2147" s="2">
        <v>28</v>
      </c>
      <c r="E2147" s="2">
        <v>26</v>
      </c>
      <c r="F2147" s="2">
        <v>2</v>
      </c>
      <c r="G2147" s="2">
        <v>2</v>
      </c>
      <c r="H2147" s="2">
        <v>205</v>
      </c>
      <c r="I2147" s="2">
        <v>0</v>
      </c>
      <c r="J2147" t="str">
        <f>_xlfn.XLOOKUP(Table2[[#This Row],[Customer_ID]],Table1[Customer_ID],Table1[Customer_Name])</f>
        <v>Delena Hulin</v>
      </c>
    </row>
    <row r="2148" spans="1:10" x14ac:dyDescent="0.35">
      <c r="A2148" s="4">
        <v>41065</v>
      </c>
      <c r="B2148" s="2">
        <v>11077</v>
      </c>
      <c r="C2148" s="2">
        <v>253</v>
      </c>
      <c r="D2148" s="2">
        <v>30</v>
      </c>
      <c r="E2148" s="2">
        <v>33</v>
      </c>
      <c r="F2148" s="2">
        <v>2</v>
      </c>
      <c r="G2148" s="2">
        <v>2</v>
      </c>
      <c r="H2148" s="2">
        <v>3</v>
      </c>
      <c r="I2148" s="2">
        <v>0</v>
      </c>
      <c r="J2148" t="str">
        <f>_xlfn.XLOOKUP(Table2[[#This Row],[Customer_ID]],Table1[Customer_ID],Table1[Customer_Name])</f>
        <v>Dinah Trusty</v>
      </c>
    </row>
    <row r="2149" spans="1:10" x14ac:dyDescent="0.35">
      <c r="A2149" s="4">
        <v>41065</v>
      </c>
      <c r="B2149" s="2">
        <v>11077</v>
      </c>
      <c r="C2149" s="2">
        <v>314</v>
      </c>
      <c r="D2149" s="2">
        <v>30</v>
      </c>
      <c r="E2149" s="2">
        <v>33</v>
      </c>
      <c r="F2149" s="2">
        <v>2</v>
      </c>
      <c r="G2149" s="2">
        <v>2</v>
      </c>
      <c r="H2149" s="2">
        <v>4</v>
      </c>
      <c r="I2149" s="2">
        <v>0</v>
      </c>
      <c r="J2149" t="str">
        <f>_xlfn.XLOOKUP(Table2[[#This Row],[Customer_ID]],Table1[Customer_ID],Table1[Customer_Name])</f>
        <v>Dinah Trusty</v>
      </c>
    </row>
    <row r="2150" spans="1:10" x14ac:dyDescent="0.35">
      <c r="A2150" s="4">
        <v>41065</v>
      </c>
      <c r="B2150" s="2">
        <v>11077</v>
      </c>
      <c r="C2150" s="2">
        <v>450</v>
      </c>
      <c r="D2150" s="2">
        <v>30</v>
      </c>
      <c r="E2150" s="2">
        <v>33</v>
      </c>
      <c r="F2150" s="2">
        <v>2</v>
      </c>
      <c r="G2150" s="2">
        <v>3</v>
      </c>
      <c r="H2150" s="2">
        <v>11</v>
      </c>
      <c r="I2150" s="2">
        <v>0</v>
      </c>
      <c r="J2150" t="str">
        <f>_xlfn.XLOOKUP(Table2[[#This Row],[Customer_ID]],Table1[Customer_ID],Table1[Customer_Name])</f>
        <v>Dinah Trusty</v>
      </c>
    </row>
    <row r="2151" spans="1:10" x14ac:dyDescent="0.35">
      <c r="A2151" s="4">
        <v>41065</v>
      </c>
      <c r="B2151" s="2">
        <v>11077</v>
      </c>
      <c r="C2151" s="2">
        <v>370</v>
      </c>
      <c r="D2151" s="2">
        <v>30</v>
      </c>
      <c r="E2151" s="2">
        <v>33</v>
      </c>
      <c r="F2151" s="2">
        <v>2</v>
      </c>
      <c r="G2151" s="2">
        <v>3</v>
      </c>
      <c r="H2151" s="2">
        <v>7</v>
      </c>
      <c r="I2151" s="2">
        <v>0</v>
      </c>
      <c r="J2151" t="str">
        <f>_xlfn.XLOOKUP(Table2[[#This Row],[Customer_ID]],Table1[Customer_ID],Table1[Customer_Name])</f>
        <v>Dinah Trusty</v>
      </c>
    </row>
    <row r="2152" spans="1:10" x14ac:dyDescent="0.35">
      <c r="A2152" s="4">
        <v>41065</v>
      </c>
      <c r="B2152" s="2">
        <v>11077</v>
      </c>
      <c r="C2152" s="2">
        <v>40</v>
      </c>
      <c r="D2152" s="2">
        <v>30</v>
      </c>
      <c r="E2152" s="2">
        <v>33</v>
      </c>
      <c r="F2152" s="2">
        <v>2</v>
      </c>
      <c r="G2152" s="2">
        <v>4</v>
      </c>
      <c r="H2152" s="2">
        <v>15</v>
      </c>
      <c r="I2152" s="2">
        <v>0</v>
      </c>
      <c r="J2152" t="str">
        <f>_xlfn.XLOOKUP(Table2[[#This Row],[Customer_ID]],Table1[Customer_ID],Table1[Customer_Name])</f>
        <v>Dinah Trusty</v>
      </c>
    </row>
    <row r="2153" spans="1:10" x14ac:dyDescent="0.35">
      <c r="A2153" s="4">
        <v>41065</v>
      </c>
      <c r="B2153" s="2">
        <v>11077</v>
      </c>
      <c r="C2153" s="2">
        <v>418</v>
      </c>
      <c r="D2153" s="2">
        <v>30</v>
      </c>
      <c r="E2153" s="2">
        <v>33</v>
      </c>
      <c r="F2153" s="2">
        <v>2</v>
      </c>
      <c r="G2153" s="2">
        <v>4</v>
      </c>
      <c r="H2153" s="2">
        <v>20</v>
      </c>
      <c r="I2153" s="2">
        <v>0</v>
      </c>
      <c r="J2153" t="str">
        <f>_xlfn.XLOOKUP(Table2[[#This Row],[Customer_ID]],Table1[Customer_ID],Table1[Customer_Name])</f>
        <v>Dinah Trusty</v>
      </c>
    </row>
    <row r="2154" spans="1:10" x14ac:dyDescent="0.35">
      <c r="A2154" s="4">
        <v>41065</v>
      </c>
      <c r="B2154" s="2">
        <v>11077</v>
      </c>
      <c r="C2154" s="2">
        <v>42</v>
      </c>
      <c r="D2154" s="2">
        <v>30</v>
      </c>
      <c r="E2154" s="2">
        <v>34</v>
      </c>
      <c r="F2154" s="2">
        <v>2</v>
      </c>
      <c r="G2154" s="2">
        <v>7</v>
      </c>
      <c r="H2154" s="2">
        <v>13</v>
      </c>
      <c r="I2154" s="2">
        <v>0</v>
      </c>
      <c r="J2154" t="str">
        <f>_xlfn.XLOOKUP(Table2[[#This Row],[Customer_ID]],Table1[Customer_ID],Table1[Customer_Name])</f>
        <v>Dinah Trusty</v>
      </c>
    </row>
    <row r="2155" spans="1:10" x14ac:dyDescent="0.35">
      <c r="A2155" s="4">
        <v>41065</v>
      </c>
      <c r="B2155" s="2">
        <v>11077</v>
      </c>
      <c r="C2155" s="2">
        <v>52</v>
      </c>
      <c r="D2155" s="2">
        <v>30</v>
      </c>
      <c r="E2155" s="2">
        <v>33</v>
      </c>
      <c r="F2155" s="2">
        <v>2</v>
      </c>
      <c r="G2155" s="2">
        <v>2</v>
      </c>
      <c r="H2155" s="2">
        <v>5</v>
      </c>
      <c r="I2155" s="2">
        <v>0</v>
      </c>
      <c r="J2155" t="str">
        <f>_xlfn.XLOOKUP(Table2[[#This Row],[Customer_ID]],Table1[Customer_ID],Table1[Customer_Name])</f>
        <v>Dinah Trusty</v>
      </c>
    </row>
    <row r="2156" spans="1:10" x14ac:dyDescent="0.35">
      <c r="A2156" s="9">
        <v>41065</v>
      </c>
      <c r="B2156" s="7">
        <v>11075</v>
      </c>
      <c r="C2156" s="7">
        <v>239</v>
      </c>
      <c r="D2156" s="7">
        <v>28</v>
      </c>
      <c r="E2156" s="7">
        <v>26</v>
      </c>
      <c r="F2156" s="7">
        <v>2</v>
      </c>
      <c r="G2156" s="7">
        <v>3</v>
      </c>
      <c r="H2156" s="7">
        <v>20</v>
      </c>
      <c r="I2156" s="7">
        <v>0</v>
      </c>
      <c r="J2156" t="str">
        <f>_xlfn.XLOOKUP(Table2[[#This Row],[Customer_ID]],Table1[Customer_ID],Table1[Customer_Name])</f>
        <v>Delena Hulin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H12" sqref="H12"/>
    </sheetView>
  </sheetViews>
  <sheetFormatPr defaultRowHeight="14.5" x14ac:dyDescent="0.35"/>
  <cols>
    <col min="1" max="3" width="13.81640625" customWidth="1"/>
  </cols>
  <sheetData>
    <row r="1" spans="1:3" x14ac:dyDescent="0.35">
      <c r="A1" s="1" t="s">
        <v>215</v>
      </c>
      <c r="B1" s="1" t="s">
        <v>216</v>
      </c>
      <c r="C1" s="1" t="s">
        <v>217</v>
      </c>
    </row>
    <row r="2" spans="1:3" x14ac:dyDescent="0.35">
      <c r="A2" s="2">
        <v>1</v>
      </c>
      <c r="B2" s="3" t="s">
        <v>218</v>
      </c>
      <c r="C2" s="2">
        <v>1</v>
      </c>
    </row>
    <row r="3" spans="1:3" x14ac:dyDescent="0.35">
      <c r="A3" s="2">
        <v>2</v>
      </c>
      <c r="B3" s="3" t="s">
        <v>219</v>
      </c>
      <c r="C3" s="2">
        <v>1</v>
      </c>
    </row>
    <row r="4" spans="1:3" x14ac:dyDescent="0.35">
      <c r="A4" s="2">
        <v>3</v>
      </c>
      <c r="B4" s="3" t="s">
        <v>220</v>
      </c>
      <c r="C4" s="2">
        <v>1</v>
      </c>
    </row>
    <row r="5" spans="1:3" x14ac:dyDescent="0.35">
      <c r="A5" s="2">
        <v>4</v>
      </c>
      <c r="B5" s="3" t="s">
        <v>221</v>
      </c>
      <c r="C5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>
      <selection activeCell="L14" sqref="L14"/>
    </sheetView>
  </sheetViews>
  <sheetFormatPr defaultRowHeight="14.5" x14ac:dyDescent="0.35"/>
  <cols>
    <col min="1" max="7" width="13.81640625" customWidth="1"/>
  </cols>
  <sheetData>
    <row r="1" spans="1:7" x14ac:dyDescent="0.35">
      <c r="A1" s="1" t="s">
        <v>210</v>
      </c>
      <c r="B1" s="1" t="s">
        <v>222</v>
      </c>
      <c r="C1" s="1" t="s">
        <v>223</v>
      </c>
      <c r="D1" s="1" t="s">
        <v>224</v>
      </c>
      <c r="E1" s="1" t="s">
        <v>3</v>
      </c>
      <c r="F1" s="1" t="s">
        <v>5</v>
      </c>
      <c r="G1" s="1" t="s">
        <v>6</v>
      </c>
    </row>
    <row r="2" spans="1:7" x14ac:dyDescent="0.35">
      <c r="A2" s="2">
        <v>1</v>
      </c>
      <c r="B2" s="3" t="s">
        <v>225</v>
      </c>
      <c r="C2" s="2">
        <v>85016</v>
      </c>
      <c r="D2" s="3" t="s">
        <v>226</v>
      </c>
      <c r="E2" s="2">
        <v>1</v>
      </c>
      <c r="F2" s="2">
        <v>33.503740000000001</v>
      </c>
      <c r="G2" s="2">
        <v>-112.03234999999999</v>
      </c>
    </row>
    <row r="3" spans="1:7" x14ac:dyDescent="0.35">
      <c r="A3" s="2">
        <v>2</v>
      </c>
      <c r="B3" s="3" t="s">
        <v>227</v>
      </c>
      <c r="C3" s="2">
        <v>85018</v>
      </c>
      <c r="D3" s="3" t="s">
        <v>226</v>
      </c>
      <c r="E3" s="2">
        <v>1</v>
      </c>
      <c r="F3" s="2">
        <v>33.498069999999998</v>
      </c>
      <c r="G3" s="2">
        <v>-111.98603</v>
      </c>
    </row>
    <row r="4" spans="1:7" x14ac:dyDescent="0.35">
      <c r="A4" s="2">
        <v>3</v>
      </c>
      <c r="B4" s="3" t="s">
        <v>228</v>
      </c>
      <c r="C4" s="2">
        <v>85021</v>
      </c>
      <c r="D4" s="3" t="s">
        <v>226</v>
      </c>
      <c r="E4" s="2">
        <v>1</v>
      </c>
      <c r="F4" s="2">
        <v>33.559429999999999</v>
      </c>
      <c r="G4" s="2">
        <v>-112.09281</v>
      </c>
    </row>
    <row r="5" spans="1:7" x14ac:dyDescent="0.35">
      <c r="A5" s="2">
        <v>4</v>
      </c>
      <c r="B5" s="3" t="s">
        <v>229</v>
      </c>
      <c r="C5" s="2">
        <v>85251</v>
      </c>
      <c r="D5" s="3" t="s">
        <v>226</v>
      </c>
      <c r="E5" s="2">
        <v>2</v>
      </c>
      <c r="F5" s="2">
        <v>33.494149999999998</v>
      </c>
      <c r="G5" s="2">
        <v>-111.92079</v>
      </c>
    </row>
    <row r="6" spans="1:7" x14ac:dyDescent="0.35">
      <c r="A6" s="2">
        <v>5</v>
      </c>
      <c r="B6" s="3" t="s">
        <v>230</v>
      </c>
      <c r="C6" s="2">
        <v>85253</v>
      </c>
      <c r="D6" s="3" t="s">
        <v>226</v>
      </c>
      <c r="E6" s="2">
        <v>2</v>
      </c>
      <c r="F6" s="2">
        <v>33.544589999999999</v>
      </c>
      <c r="G6" s="2">
        <v>-111.95645</v>
      </c>
    </row>
    <row r="7" spans="1:7" x14ac:dyDescent="0.35">
      <c r="A7" s="2">
        <v>6</v>
      </c>
      <c r="B7" s="3" t="s">
        <v>231</v>
      </c>
      <c r="C7" s="2">
        <v>85254</v>
      </c>
      <c r="D7" s="3" t="s">
        <v>226</v>
      </c>
      <c r="E7" s="2">
        <v>2</v>
      </c>
      <c r="F7" s="2">
        <v>33.6175</v>
      </c>
      <c r="G7" s="2">
        <v>-111.95416</v>
      </c>
    </row>
    <row r="8" spans="1:7" x14ac:dyDescent="0.35">
      <c r="A8" s="2">
        <v>7</v>
      </c>
      <c r="B8" s="3" t="s">
        <v>232</v>
      </c>
      <c r="C8" s="2">
        <v>90211</v>
      </c>
      <c r="D8" s="3" t="s">
        <v>226</v>
      </c>
      <c r="E8" s="2">
        <v>3</v>
      </c>
      <c r="F8" s="2">
        <v>34.066000000000003</v>
      </c>
      <c r="G8" s="2">
        <v>-118.38271</v>
      </c>
    </row>
    <row r="9" spans="1:7" x14ac:dyDescent="0.35">
      <c r="A9" s="2">
        <v>8</v>
      </c>
      <c r="B9" s="3" t="s">
        <v>233</v>
      </c>
      <c r="C9" s="2">
        <v>90210</v>
      </c>
      <c r="D9" s="3" t="s">
        <v>226</v>
      </c>
      <c r="E9" s="2">
        <v>3</v>
      </c>
      <c r="F9" s="2">
        <v>34.088799999999999</v>
      </c>
      <c r="G9" s="2">
        <v>-118.40612</v>
      </c>
    </row>
    <row r="10" spans="1:7" x14ac:dyDescent="0.35">
      <c r="A10" s="2">
        <v>9</v>
      </c>
      <c r="B10" s="3" t="s">
        <v>234</v>
      </c>
      <c r="C10" s="2">
        <v>90035</v>
      </c>
      <c r="D10" s="3" t="s">
        <v>226</v>
      </c>
      <c r="E10" s="2">
        <v>3</v>
      </c>
      <c r="F10" s="2">
        <v>34.052660000000003</v>
      </c>
      <c r="G10" s="2">
        <v>-118.38531</v>
      </c>
    </row>
    <row r="11" spans="1:7" x14ac:dyDescent="0.35">
      <c r="A11" s="2">
        <v>10</v>
      </c>
      <c r="B11" s="3" t="s">
        <v>235</v>
      </c>
      <c r="C11" s="2">
        <v>90212</v>
      </c>
      <c r="D11" s="3" t="s">
        <v>226</v>
      </c>
      <c r="E11" s="2">
        <v>3</v>
      </c>
      <c r="F11" s="2">
        <v>34.060850000000002</v>
      </c>
      <c r="G11" s="2">
        <v>-118.40191</v>
      </c>
    </row>
    <row r="12" spans="1:7" x14ac:dyDescent="0.35">
      <c r="A12" s="2">
        <v>11</v>
      </c>
      <c r="B12" s="3" t="s">
        <v>236</v>
      </c>
      <c r="C12" s="2">
        <v>90011</v>
      </c>
      <c r="D12" s="3" t="s">
        <v>226</v>
      </c>
      <c r="E12" s="2">
        <v>4</v>
      </c>
      <c r="F12" s="2">
        <v>34.007060000000003</v>
      </c>
      <c r="G12" s="2">
        <v>-118.25868</v>
      </c>
    </row>
    <row r="13" spans="1:7" x14ac:dyDescent="0.35">
      <c r="A13" s="2">
        <v>12</v>
      </c>
      <c r="B13" s="3" t="s">
        <v>237</v>
      </c>
      <c r="C13" s="2">
        <v>90017</v>
      </c>
      <c r="D13" s="3" t="s">
        <v>226</v>
      </c>
      <c r="E13" s="2">
        <v>4</v>
      </c>
      <c r="F13" s="2">
        <v>34.05256</v>
      </c>
      <c r="G13" s="2">
        <v>-118.26434</v>
      </c>
    </row>
    <row r="14" spans="1:7" x14ac:dyDescent="0.35">
      <c r="A14" s="2">
        <v>13</v>
      </c>
      <c r="B14" s="3" t="s">
        <v>238</v>
      </c>
      <c r="C14" s="2">
        <v>90027</v>
      </c>
      <c r="D14" s="3" t="s">
        <v>226</v>
      </c>
      <c r="E14" s="2">
        <v>4</v>
      </c>
      <c r="F14" s="2">
        <v>34.111199999999997</v>
      </c>
      <c r="G14" s="2">
        <v>-118.28842</v>
      </c>
    </row>
    <row r="15" spans="1:7" x14ac:dyDescent="0.35">
      <c r="A15" s="2">
        <v>14</v>
      </c>
      <c r="B15" s="3" t="s">
        <v>239</v>
      </c>
      <c r="C15" s="2">
        <v>90039</v>
      </c>
      <c r="D15" s="3" t="s">
        <v>226</v>
      </c>
      <c r="E15" s="2">
        <v>4</v>
      </c>
      <c r="F15" s="2">
        <v>34.110419999999998</v>
      </c>
      <c r="G15" s="2">
        <v>-118.25832</v>
      </c>
    </row>
    <row r="16" spans="1:7" x14ac:dyDescent="0.35">
      <c r="A16" s="2">
        <v>15</v>
      </c>
      <c r="B16" s="3" t="s">
        <v>240</v>
      </c>
      <c r="C16" s="2">
        <v>90067</v>
      </c>
      <c r="D16" s="3" t="s">
        <v>226</v>
      </c>
      <c r="E16" s="2">
        <v>4</v>
      </c>
      <c r="F16" s="2">
        <v>34.056699999999999</v>
      </c>
      <c r="G16" s="2">
        <v>-118.41182999999999</v>
      </c>
    </row>
    <row r="17" spans="1:7" x14ac:dyDescent="0.35">
      <c r="A17" s="2">
        <v>16</v>
      </c>
      <c r="B17" s="3" t="s">
        <v>241</v>
      </c>
      <c r="C17" s="2">
        <v>91324</v>
      </c>
      <c r="D17" s="3" t="s">
        <v>226</v>
      </c>
      <c r="E17" s="2">
        <v>5</v>
      </c>
      <c r="F17" s="2">
        <v>34.240349999999999</v>
      </c>
      <c r="G17" s="2">
        <v>-118.55038</v>
      </c>
    </row>
    <row r="18" spans="1:7" x14ac:dyDescent="0.35">
      <c r="A18" s="2">
        <v>17</v>
      </c>
      <c r="B18" s="3" t="s">
        <v>242</v>
      </c>
      <c r="C18" s="2">
        <v>91325</v>
      </c>
      <c r="D18" s="3" t="s">
        <v>226</v>
      </c>
      <c r="E18" s="2">
        <v>5</v>
      </c>
      <c r="F18" s="2">
        <v>34.235050000000001</v>
      </c>
      <c r="G18" s="2">
        <v>-118.51766000000001</v>
      </c>
    </row>
    <row r="19" spans="1:7" x14ac:dyDescent="0.35">
      <c r="A19" s="2">
        <v>18</v>
      </c>
      <c r="B19" s="3" t="s">
        <v>243</v>
      </c>
      <c r="C19" s="2">
        <v>93030</v>
      </c>
      <c r="D19" s="3" t="s">
        <v>226</v>
      </c>
      <c r="E19" s="2">
        <v>6</v>
      </c>
      <c r="F19" s="2">
        <v>34.21707</v>
      </c>
      <c r="G19" s="2">
        <v>-119.1769</v>
      </c>
    </row>
    <row r="20" spans="1:7" x14ac:dyDescent="0.35">
      <c r="A20" s="2">
        <v>19</v>
      </c>
      <c r="B20" s="3" t="s">
        <v>244</v>
      </c>
      <c r="C20" s="2">
        <v>93035</v>
      </c>
      <c r="D20" s="3" t="s">
        <v>226</v>
      </c>
      <c r="E20" s="2">
        <v>6</v>
      </c>
      <c r="F20" s="2">
        <v>34.179299999999998</v>
      </c>
      <c r="G20" s="2">
        <v>-119.22189</v>
      </c>
    </row>
    <row r="21" spans="1:7" x14ac:dyDescent="0.35">
      <c r="A21" s="2">
        <v>20</v>
      </c>
      <c r="B21" s="3" t="s">
        <v>245</v>
      </c>
      <c r="C21" s="2">
        <v>94105</v>
      </c>
      <c r="D21" s="3" t="s">
        <v>226</v>
      </c>
      <c r="E21" s="2">
        <v>7</v>
      </c>
      <c r="F21" s="2">
        <v>37.78922</v>
      </c>
      <c r="G21" s="2">
        <v>-122.39570000000001</v>
      </c>
    </row>
    <row r="22" spans="1:7" x14ac:dyDescent="0.35">
      <c r="A22" s="2">
        <v>21</v>
      </c>
      <c r="B22" s="3" t="s">
        <v>246</v>
      </c>
      <c r="C22" s="2">
        <v>94111</v>
      </c>
      <c r="D22" s="3" t="s">
        <v>226</v>
      </c>
      <c r="E22" s="2">
        <v>7</v>
      </c>
      <c r="F22" s="2">
        <v>37.798220000000001</v>
      </c>
      <c r="G22" s="2">
        <v>-122.40027000000001</v>
      </c>
    </row>
    <row r="23" spans="1:7" x14ac:dyDescent="0.35">
      <c r="A23" s="2">
        <v>22</v>
      </c>
      <c r="B23" s="3" t="s">
        <v>247</v>
      </c>
      <c r="C23" s="2">
        <v>94124</v>
      </c>
      <c r="D23" s="3" t="s">
        <v>226</v>
      </c>
      <c r="E23" s="2">
        <v>7</v>
      </c>
      <c r="F23" s="2">
        <v>37.732790000000001</v>
      </c>
      <c r="G23" s="2">
        <v>-122.39348</v>
      </c>
    </row>
    <row r="24" spans="1:7" x14ac:dyDescent="0.35">
      <c r="A24" s="2">
        <v>23</v>
      </c>
      <c r="B24" s="3" t="s">
        <v>248</v>
      </c>
      <c r="C24" s="2">
        <v>93101</v>
      </c>
      <c r="D24" s="3" t="s">
        <v>226</v>
      </c>
      <c r="E24" s="2">
        <v>8</v>
      </c>
      <c r="F24" s="2">
        <v>34.420160000000003</v>
      </c>
      <c r="G24" s="2">
        <v>-119.70650000000001</v>
      </c>
    </row>
    <row r="25" spans="1:7" x14ac:dyDescent="0.35">
      <c r="A25" s="2">
        <v>24</v>
      </c>
      <c r="B25" s="3" t="s">
        <v>249</v>
      </c>
      <c r="C25" s="2">
        <v>93105</v>
      </c>
      <c r="D25" s="3" t="s">
        <v>226</v>
      </c>
      <c r="E25" s="2">
        <v>8</v>
      </c>
      <c r="F25" s="2">
        <v>34.440049999999999</v>
      </c>
      <c r="G25" s="2">
        <v>-119.75496</v>
      </c>
    </row>
    <row r="26" spans="1:7" x14ac:dyDescent="0.35">
      <c r="A26" s="2">
        <v>25</v>
      </c>
      <c r="B26" s="3" t="s">
        <v>250</v>
      </c>
      <c r="C26" s="2">
        <v>91406</v>
      </c>
      <c r="D26" s="3" t="s">
        <v>226</v>
      </c>
      <c r="E26" s="2">
        <v>9</v>
      </c>
      <c r="F26" s="2">
        <v>34.20149</v>
      </c>
      <c r="G26" s="2">
        <v>-118.49375999999999</v>
      </c>
    </row>
    <row r="27" spans="1:7" x14ac:dyDescent="0.35">
      <c r="A27" s="2">
        <v>26</v>
      </c>
      <c r="B27" s="3" t="s">
        <v>251</v>
      </c>
      <c r="C27" s="2">
        <v>91411</v>
      </c>
      <c r="D27" s="3" t="s">
        <v>226</v>
      </c>
      <c r="E27" s="2">
        <v>9</v>
      </c>
      <c r="F27" s="2">
        <v>34.1783</v>
      </c>
      <c r="G27" s="2">
        <v>-118.45858</v>
      </c>
    </row>
    <row r="28" spans="1:7" x14ac:dyDescent="0.35">
      <c r="A28" s="2">
        <v>27</v>
      </c>
      <c r="B28" s="3" t="s">
        <v>252</v>
      </c>
      <c r="C28" s="2">
        <v>6106</v>
      </c>
      <c r="D28" s="3" t="s">
        <v>226</v>
      </c>
      <c r="E28" s="2">
        <v>10</v>
      </c>
      <c r="F28" s="2">
        <v>41.746899999999997</v>
      </c>
      <c r="G28" s="2">
        <v>-72.695930000000004</v>
      </c>
    </row>
    <row r="29" spans="1:7" x14ac:dyDescent="0.35">
      <c r="A29" s="2">
        <v>28</v>
      </c>
      <c r="B29" s="3" t="s">
        <v>253</v>
      </c>
      <c r="C29" s="2">
        <v>6144</v>
      </c>
      <c r="D29" s="3" t="s">
        <v>226</v>
      </c>
      <c r="E29" s="2">
        <v>10</v>
      </c>
      <c r="F29" s="2">
        <v>41.79177</v>
      </c>
      <c r="G29" s="2">
        <v>-72.718829999999997</v>
      </c>
    </row>
    <row r="30" spans="1:7" x14ac:dyDescent="0.35">
      <c r="A30" s="2">
        <v>29</v>
      </c>
      <c r="B30" s="3" t="s">
        <v>254</v>
      </c>
      <c r="C30" s="2">
        <v>6706</v>
      </c>
      <c r="D30" s="3" t="s">
        <v>226</v>
      </c>
      <c r="E30" s="2">
        <v>11</v>
      </c>
      <c r="F30" s="2">
        <v>41.537889999999997</v>
      </c>
      <c r="G30" s="2">
        <v>-73.028270000000006</v>
      </c>
    </row>
    <row r="31" spans="1:7" x14ac:dyDescent="0.35">
      <c r="A31" s="2">
        <v>30</v>
      </c>
      <c r="B31" s="3" t="s">
        <v>255</v>
      </c>
      <c r="C31" s="2">
        <v>6716</v>
      </c>
      <c r="D31" s="3" t="s">
        <v>226</v>
      </c>
      <c r="E31" s="2">
        <v>11</v>
      </c>
      <c r="F31" s="2">
        <v>41.59478</v>
      </c>
      <c r="G31" s="2">
        <v>-72.978890000000007</v>
      </c>
    </row>
    <row r="32" spans="1:7" x14ac:dyDescent="0.35">
      <c r="A32" s="2">
        <v>31</v>
      </c>
      <c r="B32" s="3" t="s">
        <v>256</v>
      </c>
      <c r="C32" s="2">
        <v>6516</v>
      </c>
      <c r="D32" s="3" t="s">
        <v>226</v>
      </c>
      <c r="E32" s="2">
        <v>12</v>
      </c>
      <c r="F32" s="2">
        <v>41.27214</v>
      </c>
      <c r="G32" s="2">
        <v>-72.964960000000005</v>
      </c>
    </row>
    <row r="33" spans="1:7" x14ac:dyDescent="0.35">
      <c r="A33" s="2">
        <v>32</v>
      </c>
      <c r="B33" s="3" t="s">
        <v>257</v>
      </c>
      <c r="C33" s="2">
        <v>6095</v>
      </c>
      <c r="D33" s="3" t="s">
        <v>226</v>
      </c>
      <c r="E33" s="2">
        <v>13</v>
      </c>
      <c r="F33" s="2">
        <v>41.857300000000002</v>
      </c>
      <c r="G33" s="2">
        <v>-72.666539999999998</v>
      </c>
    </row>
    <row r="34" spans="1:7" x14ac:dyDescent="0.35">
      <c r="A34" s="2">
        <v>33</v>
      </c>
      <c r="B34" s="3" t="s">
        <v>258</v>
      </c>
      <c r="C34" s="2">
        <v>33301</v>
      </c>
      <c r="D34" s="3" t="s">
        <v>226</v>
      </c>
      <c r="E34" s="2">
        <v>14</v>
      </c>
      <c r="F34" s="2">
        <v>26.121110000000002</v>
      </c>
      <c r="G34" s="2">
        <v>-80.131870000000006</v>
      </c>
    </row>
    <row r="35" spans="1:7" x14ac:dyDescent="0.35">
      <c r="A35" s="2">
        <v>34</v>
      </c>
      <c r="B35" s="3" t="s">
        <v>259</v>
      </c>
      <c r="C35" s="2">
        <v>33334</v>
      </c>
      <c r="D35" s="3" t="s">
        <v>226</v>
      </c>
      <c r="E35" s="2">
        <v>14</v>
      </c>
      <c r="F35" s="2">
        <v>26.18216</v>
      </c>
      <c r="G35" s="2">
        <v>-80.133409999999998</v>
      </c>
    </row>
    <row r="36" spans="1:7" x14ac:dyDescent="0.35">
      <c r="A36" s="2">
        <v>35</v>
      </c>
      <c r="B36" s="3" t="s">
        <v>260</v>
      </c>
      <c r="C36" s="2">
        <v>33141</v>
      </c>
      <c r="D36" s="3" t="s">
        <v>226</v>
      </c>
      <c r="E36" s="2">
        <v>15</v>
      </c>
      <c r="F36" s="2">
        <v>25.85857</v>
      </c>
      <c r="G36" s="2">
        <v>-80.129729999999995</v>
      </c>
    </row>
    <row r="37" spans="1:7" x14ac:dyDescent="0.35">
      <c r="A37" s="2">
        <v>36</v>
      </c>
      <c r="B37" s="3" t="s">
        <v>261</v>
      </c>
      <c r="C37" s="2">
        <v>33166</v>
      </c>
      <c r="D37" s="3" t="s">
        <v>226</v>
      </c>
      <c r="E37" s="2">
        <v>15</v>
      </c>
      <c r="F37" s="2">
        <v>25.824719999999999</v>
      </c>
      <c r="G37" s="2">
        <v>-80.304760000000002</v>
      </c>
    </row>
    <row r="38" spans="1:7" x14ac:dyDescent="0.35">
      <c r="A38" s="2">
        <v>37</v>
      </c>
      <c r="B38" s="3" t="s">
        <v>262</v>
      </c>
      <c r="C38" s="2">
        <v>32504</v>
      </c>
      <c r="D38" s="3" t="s">
        <v>226</v>
      </c>
      <c r="E38" s="2">
        <v>16</v>
      </c>
      <c r="F38" s="2">
        <v>30.487870000000001</v>
      </c>
      <c r="G38" s="2">
        <v>-87.189369999999997</v>
      </c>
    </row>
    <row r="39" spans="1:7" x14ac:dyDescent="0.35">
      <c r="A39" s="2">
        <v>38</v>
      </c>
      <c r="B39" s="3" t="s">
        <v>263</v>
      </c>
      <c r="C39" s="2">
        <v>32506</v>
      </c>
      <c r="D39" s="3" t="s">
        <v>226</v>
      </c>
      <c r="E39" s="2">
        <v>16</v>
      </c>
      <c r="F39" s="2">
        <v>30.408799999999999</v>
      </c>
      <c r="G39" s="2">
        <v>-87.319190000000006</v>
      </c>
    </row>
    <row r="40" spans="1:7" x14ac:dyDescent="0.35">
      <c r="A40" s="2">
        <v>39</v>
      </c>
      <c r="B40" s="3" t="s">
        <v>264</v>
      </c>
      <c r="C40" s="2">
        <v>32593</v>
      </c>
      <c r="D40" s="3" t="s">
        <v>226</v>
      </c>
      <c r="E40" s="2">
        <v>16</v>
      </c>
      <c r="F40" s="2">
        <v>30.614280000000001</v>
      </c>
      <c r="G40" s="2">
        <v>-87.275769999999994</v>
      </c>
    </row>
    <row r="41" spans="1:7" x14ac:dyDescent="0.35">
      <c r="A41" s="2">
        <v>40</v>
      </c>
      <c r="B41" s="3" t="s">
        <v>265</v>
      </c>
      <c r="C41" s="2">
        <v>33701</v>
      </c>
      <c r="D41" s="3" t="s">
        <v>226</v>
      </c>
      <c r="E41" s="2">
        <v>17</v>
      </c>
      <c r="F41" s="2">
        <v>27.770949999999999</v>
      </c>
      <c r="G41" s="2">
        <v>-82.639309999999995</v>
      </c>
    </row>
    <row r="42" spans="1:7" x14ac:dyDescent="0.35">
      <c r="A42" s="2">
        <v>41</v>
      </c>
      <c r="B42" s="3" t="s">
        <v>266</v>
      </c>
      <c r="C42" s="2">
        <v>33716</v>
      </c>
      <c r="D42" s="3" t="s">
        <v>226</v>
      </c>
      <c r="E42" s="2">
        <v>17</v>
      </c>
      <c r="F42" s="2">
        <v>27.874320000000001</v>
      </c>
      <c r="G42" s="2">
        <v>-82.645150000000001</v>
      </c>
    </row>
    <row r="43" spans="1:7" x14ac:dyDescent="0.35">
      <c r="A43" s="2">
        <v>42</v>
      </c>
      <c r="B43" s="3" t="s">
        <v>267</v>
      </c>
      <c r="C43" s="2">
        <v>33607</v>
      </c>
      <c r="D43" s="3" t="s">
        <v>226</v>
      </c>
      <c r="E43" s="2">
        <v>18</v>
      </c>
      <c r="F43" s="2">
        <v>27.963789999999999</v>
      </c>
      <c r="G43" s="2">
        <v>-82.495369999999994</v>
      </c>
    </row>
    <row r="44" spans="1:7" x14ac:dyDescent="0.35">
      <c r="A44" s="2">
        <v>43</v>
      </c>
      <c r="B44" s="3" t="s">
        <v>268</v>
      </c>
      <c r="C44" s="2">
        <v>33613</v>
      </c>
      <c r="D44" s="3" t="s">
        <v>226</v>
      </c>
      <c r="E44" s="2">
        <v>18</v>
      </c>
      <c r="F44" s="2">
        <v>28.07799</v>
      </c>
      <c r="G44" s="2">
        <v>-82.449889999999996</v>
      </c>
    </row>
    <row r="45" spans="1:7" x14ac:dyDescent="0.35">
      <c r="A45" s="2">
        <v>44</v>
      </c>
      <c r="B45" s="3" t="s">
        <v>269</v>
      </c>
      <c r="C45" s="2">
        <v>2111</v>
      </c>
      <c r="D45" s="3" t="s">
        <v>226</v>
      </c>
      <c r="E45" s="2">
        <v>19</v>
      </c>
      <c r="F45" s="2">
        <v>42.349829999999997</v>
      </c>
      <c r="G45" s="2">
        <v>-71.061009999999996</v>
      </c>
    </row>
    <row r="46" spans="1:7" x14ac:dyDescent="0.35">
      <c r="A46" s="2">
        <v>45</v>
      </c>
      <c r="B46" s="3" t="s">
        <v>270</v>
      </c>
      <c r="C46" s="2">
        <v>2114</v>
      </c>
      <c r="D46" s="3" t="s">
        <v>226</v>
      </c>
      <c r="E46" s="2">
        <v>19</v>
      </c>
      <c r="F46" s="2">
        <v>42.361789999999999</v>
      </c>
      <c r="G46" s="2">
        <v>-71.067740000000001</v>
      </c>
    </row>
    <row r="47" spans="1:7" x14ac:dyDescent="0.35">
      <c r="A47" s="2">
        <v>46</v>
      </c>
      <c r="B47" s="3" t="s">
        <v>271</v>
      </c>
      <c r="C47" s="2">
        <v>2125</v>
      </c>
      <c r="D47" s="3" t="s">
        <v>226</v>
      </c>
      <c r="E47" s="2">
        <v>19</v>
      </c>
      <c r="F47" s="2">
        <v>42.316850000000002</v>
      </c>
      <c r="G47" s="2">
        <v>-71.058109999999999</v>
      </c>
    </row>
    <row r="48" spans="1:7" x14ac:dyDescent="0.35">
      <c r="A48" s="2">
        <v>47</v>
      </c>
      <c r="B48" s="3" t="s">
        <v>272</v>
      </c>
      <c r="C48" s="2">
        <v>2127</v>
      </c>
      <c r="D48" s="3" t="s">
        <v>226</v>
      </c>
      <c r="E48" s="2">
        <v>19</v>
      </c>
      <c r="F48" s="2">
        <v>42.334989999999998</v>
      </c>
      <c r="G48" s="2">
        <v>-71.04562</v>
      </c>
    </row>
    <row r="49" spans="1:7" x14ac:dyDescent="0.35">
      <c r="A49" s="2">
        <v>48</v>
      </c>
      <c r="B49" s="3" t="s">
        <v>273</v>
      </c>
      <c r="C49" s="2">
        <v>2138</v>
      </c>
      <c r="D49" s="3" t="s">
        <v>226</v>
      </c>
      <c r="E49" s="2">
        <v>20</v>
      </c>
      <c r="F49" s="2">
        <v>42.37914</v>
      </c>
      <c r="G49" s="2">
        <v>-71.128029999999995</v>
      </c>
    </row>
    <row r="50" spans="1:7" x14ac:dyDescent="0.35">
      <c r="A50" s="2">
        <v>49</v>
      </c>
      <c r="B50" s="3" t="s">
        <v>274</v>
      </c>
      <c r="C50" s="2">
        <v>2142</v>
      </c>
      <c r="D50" s="3" t="s">
        <v>226</v>
      </c>
      <c r="E50" s="2">
        <v>20</v>
      </c>
      <c r="F50" s="2">
        <v>42.362290000000002</v>
      </c>
      <c r="G50" s="2">
        <v>-71.084119999999999</v>
      </c>
    </row>
    <row r="51" spans="1:7" x14ac:dyDescent="0.35">
      <c r="A51" s="2">
        <v>50</v>
      </c>
      <c r="B51" s="3" t="s">
        <v>275</v>
      </c>
      <c r="C51" s="2">
        <v>39703</v>
      </c>
      <c r="D51" s="3" t="s">
        <v>226</v>
      </c>
      <c r="E51" s="2">
        <v>21</v>
      </c>
      <c r="F51" s="2">
        <v>33.484139999999996</v>
      </c>
      <c r="G51" s="2">
        <v>-88.283990000000003</v>
      </c>
    </row>
    <row r="52" spans="1:7" x14ac:dyDescent="0.35">
      <c r="A52" s="2">
        <v>51</v>
      </c>
      <c r="B52" s="3" t="s">
        <v>276</v>
      </c>
      <c r="C52" s="2">
        <v>39211</v>
      </c>
      <c r="D52" s="3" t="s">
        <v>226</v>
      </c>
      <c r="E52" s="2">
        <v>22</v>
      </c>
      <c r="F52" s="2">
        <v>32.370539999999998</v>
      </c>
      <c r="G52" s="2">
        <v>-90.1297</v>
      </c>
    </row>
    <row r="53" spans="1:7" x14ac:dyDescent="0.35">
      <c r="A53" s="2">
        <v>52</v>
      </c>
      <c r="B53" s="3" t="s">
        <v>277</v>
      </c>
      <c r="C53" s="2">
        <v>39216</v>
      </c>
      <c r="D53" s="3" t="s">
        <v>226</v>
      </c>
      <c r="E53" s="2">
        <v>22</v>
      </c>
      <c r="F53" s="2">
        <v>32.33473</v>
      </c>
      <c r="G53" s="2">
        <v>-90.169330000000002</v>
      </c>
    </row>
    <row r="54" spans="1:7" x14ac:dyDescent="0.35">
      <c r="A54" s="2">
        <v>53</v>
      </c>
      <c r="B54" s="3" t="s">
        <v>278</v>
      </c>
      <c r="C54" s="2">
        <v>8404</v>
      </c>
      <c r="D54" s="3" t="s">
        <v>226</v>
      </c>
      <c r="E54" s="2">
        <v>23</v>
      </c>
      <c r="F54" s="2">
        <v>39.5092</v>
      </c>
      <c r="G54" s="2">
        <v>-74.608549999999994</v>
      </c>
    </row>
    <row r="55" spans="1:7" x14ac:dyDescent="0.35">
      <c r="A55" s="2">
        <v>54</v>
      </c>
      <c r="B55" s="3" t="s">
        <v>279</v>
      </c>
      <c r="C55" s="2">
        <v>7011</v>
      </c>
      <c r="D55" s="3" t="s">
        <v>226</v>
      </c>
      <c r="E55" s="2">
        <v>24</v>
      </c>
      <c r="F55" s="2">
        <v>40.879689999999997</v>
      </c>
      <c r="G55" s="2">
        <v>-74.142629999999997</v>
      </c>
    </row>
    <row r="56" spans="1:7" x14ac:dyDescent="0.35">
      <c r="A56" s="2">
        <v>55</v>
      </c>
      <c r="B56" s="3" t="s">
        <v>280</v>
      </c>
      <c r="C56" s="2">
        <v>7013</v>
      </c>
      <c r="D56" s="3" t="s">
        <v>226</v>
      </c>
      <c r="E56" s="2">
        <v>24</v>
      </c>
      <c r="F56" s="2">
        <v>40.868690000000001</v>
      </c>
      <c r="G56" s="2">
        <v>-74.171019999999999</v>
      </c>
    </row>
    <row r="57" spans="1:7" x14ac:dyDescent="0.35">
      <c r="A57" s="2">
        <v>56</v>
      </c>
      <c r="B57" s="3" t="s">
        <v>281</v>
      </c>
      <c r="C57" s="2">
        <v>7014</v>
      </c>
      <c r="D57" s="3" t="s">
        <v>226</v>
      </c>
      <c r="E57" s="2">
        <v>24</v>
      </c>
      <c r="F57" s="2">
        <v>40.834040000000002</v>
      </c>
      <c r="G57" s="2">
        <v>-74.136690000000002</v>
      </c>
    </row>
    <row r="58" spans="1:7" x14ac:dyDescent="0.35">
      <c r="A58" s="2">
        <v>57</v>
      </c>
      <c r="B58" s="3" t="s">
        <v>282</v>
      </c>
      <c r="C58" s="2">
        <v>8540</v>
      </c>
      <c r="D58" s="3" t="s">
        <v>226</v>
      </c>
      <c r="E58" s="2">
        <v>25</v>
      </c>
      <c r="F58" s="2">
        <v>40.357430000000001</v>
      </c>
      <c r="G58" s="2">
        <v>-74.64922</v>
      </c>
    </row>
    <row r="59" spans="1:7" x14ac:dyDescent="0.35">
      <c r="A59" s="2">
        <v>58</v>
      </c>
      <c r="B59" s="3" t="s">
        <v>283</v>
      </c>
      <c r="C59" s="2">
        <v>8543</v>
      </c>
      <c r="D59" s="3" t="s">
        <v>226</v>
      </c>
      <c r="E59" s="2">
        <v>25</v>
      </c>
      <c r="F59" s="2">
        <v>40.280529999999999</v>
      </c>
      <c r="G59" s="2">
        <v>-74.712010000000006</v>
      </c>
    </row>
    <row r="60" spans="1:7" x14ac:dyDescent="0.35">
      <c r="A60" s="2">
        <v>59</v>
      </c>
      <c r="B60" s="3" t="s">
        <v>284</v>
      </c>
      <c r="C60" s="2">
        <v>8075</v>
      </c>
      <c r="D60" s="3" t="s">
        <v>226</v>
      </c>
      <c r="E60" s="2">
        <v>26</v>
      </c>
      <c r="F60" s="2">
        <v>40.029359999999997</v>
      </c>
      <c r="G60" s="2">
        <v>-74.954099999999997</v>
      </c>
    </row>
    <row r="61" spans="1:7" x14ac:dyDescent="0.35">
      <c r="A61" s="2">
        <v>60</v>
      </c>
      <c r="B61" s="3" t="s">
        <v>285</v>
      </c>
      <c r="C61" s="2">
        <v>7662</v>
      </c>
      <c r="D61" s="3" t="s">
        <v>226</v>
      </c>
      <c r="E61" s="2">
        <v>27</v>
      </c>
      <c r="F61" s="2">
        <v>40.906550000000003</v>
      </c>
      <c r="G61" s="2">
        <v>-74.077969999999993</v>
      </c>
    </row>
    <row r="62" spans="1:7" x14ac:dyDescent="0.35">
      <c r="A62" s="2">
        <v>61</v>
      </c>
      <c r="B62" s="3" t="s">
        <v>286</v>
      </c>
      <c r="C62" s="2">
        <v>7070</v>
      </c>
      <c r="D62" s="3" t="s">
        <v>226</v>
      </c>
      <c r="E62" s="2">
        <v>28</v>
      </c>
      <c r="F62" s="2">
        <v>40.828919999999997</v>
      </c>
      <c r="G62" s="2">
        <v>-74.110640000000004</v>
      </c>
    </row>
    <row r="63" spans="1:7" x14ac:dyDescent="0.35">
      <c r="A63" s="2">
        <v>62</v>
      </c>
      <c r="B63" s="3" t="s">
        <v>287</v>
      </c>
      <c r="C63" s="2">
        <v>11377</v>
      </c>
      <c r="D63" s="3" t="s">
        <v>226</v>
      </c>
      <c r="E63" s="2">
        <v>29</v>
      </c>
      <c r="F63" s="2">
        <v>40.74286</v>
      </c>
      <c r="G63" s="2">
        <v>-73.903769999999994</v>
      </c>
    </row>
    <row r="64" spans="1:7" x14ac:dyDescent="0.35">
      <c r="A64" s="2">
        <v>63</v>
      </c>
      <c r="B64" s="3" t="s">
        <v>288</v>
      </c>
      <c r="C64" s="2">
        <v>11378</v>
      </c>
      <c r="D64" s="3" t="s">
        <v>226</v>
      </c>
      <c r="E64" s="2">
        <v>29</v>
      </c>
      <c r="F64" s="2">
        <v>40.724089999999997</v>
      </c>
      <c r="G64" s="2">
        <v>-73.902709999999999</v>
      </c>
    </row>
    <row r="65" spans="1:7" x14ac:dyDescent="0.35">
      <c r="A65" s="2">
        <v>64</v>
      </c>
      <c r="B65" s="3" t="s">
        <v>289</v>
      </c>
      <c r="C65" s="2">
        <v>10001</v>
      </c>
      <c r="D65" s="3" t="s">
        <v>226</v>
      </c>
      <c r="E65" s="2">
        <v>30</v>
      </c>
      <c r="F65" s="2">
        <v>40.75074</v>
      </c>
      <c r="G65" s="2">
        <v>-73.996530000000007</v>
      </c>
    </row>
    <row r="66" spans="1:7" x14ac:dyDescent="0.35">
      <c r="A66" s="2">
        <v>65</v>
      </c>
      <c r="B66" s="3" t="s">
        <v>290</v>
      </c>
      <c r="C66" s="2">
        <v>10003</v>
      </c>
      <c r="D66" s="3" t="s">
        <v>226</v>
      </c>
      <c r="E66" s="2">
        <v>30</v>
      </c>
      <c r="F66" s="2">
        <v>40.732500000000002</v>
      </c>
      <c r="G66" s="2">
        <v>-73.989350000000002</v>
      </c>
    </row>
    <row r="67" spans="1:7" x14ac:dyDescent="0.35">
      <c r="A67" s="2">
        <v>66</v>
      </c>
      <c r="B67" s="3" t="s">
        <v>291</v>
      </c>
      <c r="C67" s="2">
        <v>10016</v>
      </c>
      <c r="D67" s="3" t="s">
        <v>226</v>
      </c>
      <c r="E67" s="2">
        <v>30</v>
      </c>
      <c r="F67" s="2">
        <v>40.746180000000003</v>
      </c>
      <c r="G67" s="2">
        <v>-73.977590000000006</v>
      </c>
    </row>
    <row r="68" spans="1:7" x14ac:dyDescent="0.35">
      <c r="A68" s="2">
        <v>67</v>
      </c>
      <c r="B68" s="3" t="s">
        <v>292</v>
      </c>
      <c r="C68" s="2">
        <v>10017</v>
      </c>
      <c r="D68" s="3" t="s">
        <v>226</v>
      </c>
      <c r="E68" s="2">
        <v>30</v>
      </c>
      <c r="F68" s="2">
        <v>40.75215</v>
      </c>
      <c r="G68" s="2">
        <v>-73.972309999999993</v>
      </c>
    </row>
    <row r="69" spans="1:7" x14ac:dyDescent="0.35">
      <c r="A69" s="2">
        <v>68</v>
      </c>
      <c r="B69" s="3" t="s">
        <v>293</v>
      </c>
      <c r="C69" s="2">
        <v>10024</v>
      </c>
      <c r="D69" s="3" t="s">
        <v>226</v>
      </c>
      <c r="E69" s="2">
        <v>30</v>
      </c>
      <c r="F69" s="2">
        <v>40.786380000000001</v>
      </c>
      <c r="G69" s="2">
        <v>-73.977090000000004</v>
      </c>
    </row>
    <row r="70" spans="1:7" x14ac:dyDescent="0.35">
      <c r="A70" s="2">
        <v>69</v>
      </c>
      <c r="B70" s="3" t="s">
        <v>294</v>
      </c>
      <c r="C70" s="2">
        <v>10041</v>
      </c>
      <c r="D70" s="3" t="s">
        <v>226</v>
      </c>
      <c r="E70" s="2">
        <v>30</v>
      </c>
      <c r="F70" s="2">
        <v>40.703040000000001</v>
      </c>
      <c r="G70" s="2">
        <v>-74.010090000000005</v>
      </c>
    </row>
    <row r="71" spans="1:7" x14ac:dyDescent="0.35">
      <c r="A71" s="2">
        <v>70</v>
      </c>
      <c r="B71" s="3" t="s">
        <v>295</v>
      </c>
      <c r="C71" s="2">
        <v>10104</v>
      </c>
      <c r="D71" s="3" t="s">
        <v>226</v>
      </c>
      <c r="E71" s="2">
        <v>30</v>
      </c>
      <c r="F71" s="2">
        <v>40.760939999999998</v>
      </c>
      <c r="G71" s="2">
        <v>-73.979900000000001</v>
      </c>
    </row>
    <row r="72" spans="1:7" x14ac:dyDescent="0.35">
      <c r="A72" s="2">
        <v>71</v>
      </c>
      <c r="B72" s="3" t="s">
        <v>296</v>
      </c>
      <c r="C72" s="2">
        <v>10105</v>
      </c>
      <c r="D72" s="3" t="s">
        <v>226</v>
      </c>
      <c r="E72" s="2">
        <v>30</v>
      </c>
      <c r="F72" s="2">
        <v>40.762799999999999</v>
      </c>
      <c r="G72" s="2">
        <v>-73.978530000000006</v>
      </c>
    </row>
    <row r="73" spans="1:7" x14ac:dyDescent="0.35">
      <c r="A73" s="2">
        <v>72</v>
      </c>
      <c r="B73" s="3" t="s">
        <v>297</v>
      </c>
      <c r="C73" s="2">
        <v>10120</v>
      </c>
      <c r="D73" s="3" t="s">
        <v>226</v>
      </c>
      <c r="E73" s="2">
        <v>30</v>
      </c>
      <c r="F73" s="2">
        <v>40.750619999999998</v>
      </c>
      <c r="G73" s="2">
        <v>-73.989419999999996</v>
      </c>
    </row>
    <row r="74" spans="1:7" x14ac:dyDescent="0.35">
      <c r="A74" s="2">
        <v>73</v>
      </c>
      <c r="B74" s="3" t="s">
        <v>298</v>
      </c>
      <c r="C74" s="2">
        <v>10128</v>
      </c>
      <c r="D74" s="3" t="s">
        <v>226</v>
      </c>
      <c r="E74" s="2">
        <v>30</v>
      </c>
      <c r="F74" s="2">
        <v>40.781889999999997</v>
      </c>
      <c r="G74" s="2">
        <v>-73.950389999999999</v>
      </c>
    </row>
    <row r="75" spans="1:7" x14ac:dyDescent="0.35">
      <c r="A75" s="2">
        <v>74</v>
      </c>
      <c r="B75" s="3" t="s">
        <v>299</v>
      </c>
      <c r="C75" s="2">
        <v>10166</v>
      </c>
      <c r="D75" s="3" t="s">
        <v>226</v>
      </c>
      <c r="E75" s="2">
        <v>30</v>
      </c>
      <c r="F75" s="2">
        <v>40.75459</v>
      </c>
      <c r="G75" s="2">
        <v>-73.976230000000001</v>
      </c>
    </row>
    <row r="76" spans="1:7" x14ac:dyDescent="0.35">
      <c r="A76" s="2">
        <v>75</v>
      </c>
      <c r="B76" s="3" t="s">
        <v>300</v>
      </c>
      <c r="C76" s="2">
        <v>10174</v>
      </c>
      <c r="D76" s="3" t="s">
        <v>226</v>
      </c>
      <c r="E76" s="2">
        <v>30</v>
      </c>
      <c r="F76" s="2">
        <v>40.751649999999998</v>
      </c>
      <c r="G76" s="2">
        <v>-73.975160000000002</v>
      </c>
    </row>
    <row r="77" spans="1:7" x14ac:dyDescent="0.35">
      <c r="A77" s="2">
        <v>76</v>
      </c>
      <c r="B77" s="3" t="s">
        <v>301</v>
      </c>
      <c r="C77" s="2">
        <v>14607</v>
      </c>
      <c r="D77" s="3" t="s">
        <v>226</v>
      </c>
      <c r="E77" s="2">
        <v>31</v>
      </c>
      <c r="F77" s="2">
        <v>43.149859999999997</v>
      </c>
      <c r="G77" s="2">
        <v>-77.589619999999996</v>
      </c>
    </row>
    <row r="78" spans="1:7" x14ac:dyDescent="0.35">
      <c r="A78" s="2">
        <v>77</v>
      </c>
      <c r="B78" s="3" t="s">
        <v>302</v>
      </c>
      <c r="C78" s="2">
        <v>14620</v>
      </c>
      <c r="D78" s="3" t="s">
        <v>226</v>
      </c>
      <c r="E78" s="2">
        <v>31</v>
      </c>
      <c r="F78" s="2">
        <v>43.132469999999998</v>
      </c>
      <c r="G78" s="2">
        <v>-77.603769999999997</v>
      </c>
    </row>
    <row r="79" spans="1:7" x14ac:dyDescent="0.35">
      <c r="A79" s="2">
        <v>78</v>
      </c>
      <c r="B79" s="3" t="s">
        <v>303</v>
      </c>
      <c r="C79" s="2">
        <v>14625</v>
      </c>
      <c r="D79" s="3" t="s">
        <v>226</v>
      </c>
      <c r="E79" s="2">
        <v>31</v>
      </c>
      <c r="F79" s="2">
        <v>43.143659999999997</v>
      </c>
      <c r="G79" s="2">
        <v>-77.511139999999997</v>
      </c>
    </row>
    <row r="80" spans="1:7" x14ac:dyDescent="0.35">
      <c r="A80" s="2">
        <v>79</v>
      </c>
      <c r="B80" s="3" t="s">
        <v>304</v>
      </c>
      <c r="C80" s="2">
        <v>14646</v>
      </c>
      <c r="D80" s="3" t="s">
        <v>226</v>
      </c>
      <c r="E80" s="2">
        <v>31</v>
      </c>
      <c r="F80" s="2">
        <v>43.286020000000001</v>
      </c>
      <c r="G80" s="2">
        <v>-77.684259999999995</v>
      </c>
    </row>
    <row r="81" spans="1:7" x14ac:dyDescent="0.35">
      <c r="A81" s="2">
        <v>80</v>
      </c>
      <c r="B81" s="3" t="s">
        <v>305</v>
      </c>
      <c r="C81" s="2">
        <v>13492</v>
      </c>
      <c r="D81" s="3" t="s">
        <v>226</v>
      </c>
      <c r="E81" s="2">
        <v>32</v>
      </c>
      <c r="F81" s="2">
        <v>43.11627</v>
      </c>
      <c r="G81" s="2">
        <v>-75.311819999999997</v>
      </c>
    </row>
    <row r="82" spans="1:7" x14ac:dyDescent="0.35">
      <c r="A82" s="2">
        <v>81</v>
      </c>
      <c r="B82" s="3" t="s">
        <v>306</v>
      </c>
      <c r="C82" s="2">
        <v>75207</v>
      </c>
      <c r="D82" s="3" t="s">
        <v>226</v>
      </c>
      <c r="E82" s="2">
        <v>33</v>
      </c>
      <c r="F82" s="2">
        <v>32.786430000000003</v>
      </c>
      <c r="G82" s="2">
        <v>-96.819919999999996</v>
      </c>
    </row>
    <row r="83" spans="1:7" x14ac:dyDescent="0.35">
      <c r="A83" s="2">
        <v>82</v>
      </c>
      <c r="B83" s="3" t="s">
        <v>307</v>
      </c>
      <c r="C83" s="2">
        <v>75231</v>
      </c>
      <c r="D83" s="3" t="s">
        <v>226</v>
      </c>
      <c r="E83" s="2">
        <v>33</v>
      </c>
      <c r="F83" s="2">
        <v>32.874310000000001</v>
      </c>
      <c r="G83" s="2">
        <v>-96.747640000000004</v>
      </c>
    </row>
    <row r="84" spans="1:7" x14ac:dyDescent="0.35">
      <c r="A84" s="2">
        <v>83</v>
      </c>
      <c r="B84" s="3" t="s">
        <v>308</v>
      </c>
      <c r="C84" s="2">
        <v>75240</v>
      </c>
      <c r="D84" s="3" t="s">
        <v>226</v>
      </c>
      <c r="E84" s="2">
        <v>33</v>
      </c>
      <c r="F84" s="2">
        <v>32.938769999999998</v>
      </c>
      <c r="G84" s="2">
        <v>-96.785430000000005</v>
      </c>
    </row>
    <row r="85" spans="1:7" x14ac:dyDescent="0.35">
      <c r="A85" s="2">
        <v>84</v>
      </c>
      <c r="B85" s="3" t="s">
        <v>309</v>
      </c>
      <c r="C85" s="2">
        <v>77027</v>
      </c>
      <c r="D85" s="3" t="s">
        <v>226</v>
      </c>
      <c r="E85" s="2">
        <v>34</v>
      </c>
      <c r="F85" s="2">
        <v>29.73902</v>
      </c>
      <c r="G85" s="2">
        <v>-95.443640000000002</v>
      </c>
    </row>
    <row r="86" spans="1:7" x14ac:dyDescent="0.35">
      <c r="A86" s="2">
        <v>85</v>
      </c>
      <c r="B86" s="3" t="s">
        <v>310</v>
      </c>
      <c r="C86" s="2">
        <v>77030</v>
      </c>
      <c r="D86" s="3" t="s">
        <v>226</v>
      </c>
      <c r="E86" s="2">
        <v>34</v>
      </c>
      <c r="F86" s="2">
        <v>29.70458</v>
      </c>
      <c r="G86" s="2">
        <v>-95.404660000000007</v>
      </c>
    </row>
    <row r="87" spans="1:7" x14ac:dyDescent="0.35">
      <c r="A87" s="2">
        <v>86</v>
      </c>
      <c r="B87" s="3" t="s">
        <v>311</v>
      </c>
      <c r="C87" s="2">
        <v>77039</v>
      </c>
      <c r="D87" s="3" t="s">
        <v>226</v>
      </c>
      <c r="E87" s="2">
        <v>34</v>
      </c>
      <c r="F87" s="2">
        <v>29.909120000000001</v>
      </c>
      <c r="G87" s="2">
        <v>-95.336830000000006</v>
      </c>
    </row>
    <row r="88" spans="1:7" x14ac:dyDescent="0.35">
      <c r="A88" s="2">
        <v>87</v>
      </c>
      <c r="B88" s="3" t="s">
        <v>312</v>
      </c>
      <c r="C88" s="2">
        <v>77060</v>
      </c>
      <c r="D88" s="3" t="s">
        <v>226</v>
      </c>
      <c r="E88" s="2">
        <v>34</v>
      </c>
      <c r="F88" s="2">
        <v>29.93336</v>
      </c>
      <c r="G88" s="2">
        <v>-95.399159999999995</v>
      </c>
    </row>
    <row r="89" spans="1:7" x14ac:dyDescent="0.35">
      <c r="A89" s="2">
        <v>88</v>
      </c>
      <c r="B89" s="3" t="s">
        <v>313</v>
      </c>
      <c r="C89" s="2">
        <v>77074</v>
      </c>
      <c r="D89" s="3" t="s">
        <v>226</v>
      </c>
      <c r="E89" s="2">
        <v>34</v>
      </c>
      <c r="F89" s="2">
        <v>29.689779999999999</v>
      </c>
      <c r="G89" s="2">
        <v>-95.511610000000005</v>
      </c>
    </row>
    <row r="90" spans="1:7" x14ac:dyDescent="0.35">
      <c r="A90" s="2">
        <v>89</v>
      </c>
      <c r="B90" s="3" t="s">
        <v>314</v>
      </c>
      <c r="C90" s="2">
        <v>77084</v>
      </c>
      <c r="D90" s="3" t="s">
        <v>226</v>
      </c>
      <c r="E90" s="2">
        <v>34</v>
      </c>
      <c r="F90" s="2">
        <v>29.83915</v>
      </c>
      <c r="G90" s="2">
        <v>-95.663910000000001</v>
      </c>
    </row>
    <row r="91" spans="1:7" x14ac:dyDescent="0.35">
      <c r="A91" s="2">
        <v>90</v>
      </c>
      <c r="B91" s="3" t="s">
        <v>315</v>
      </c>
      <c r="C91" s="2">
        <v>77098</v>
      </c>
      <c r="D91" s="3" t="s">
        <v>226</v>
      </c>
      <c r="E91" s="2">
        <v>34</v>
      </c>
      <c r="F91" s="2">
        <v>29.735520000000001</v>
      </c>
      <c r="G91" s="2">
        <v>-95.414050000000003</v>
      </c>
    </row>
    <row r="92" spans="1:7" x14ac:dyDescent="0.35">
      <c r="A92" s="2">
        <v>91</v>
      </c>
      <c r="B92" s="3" t="s">
        <v>316</v>
      </c>
      <c r="C92" s="2">
        <v>77258</v>
      </c>
      <c r="D92" s="3" t="s">
        <v>226</v>
      </c>
      <c r="E92" s="2">
        <v>34</v>
      </c>
      <c r="F92" s="2">
        <v>29.83399</v>
      </c>
      <c r="G92" s="2">
        <v>-95.434240000000003</v>
      </c>
    </row>
    <row r="93" spans="1:7" x14ac:dyDescent="0.35">
      <c r="A93" s="2">
        <v>92</v>
      </c>
      <c r="B93" s="3" t="s">
        <v>317</v>
      </c>
      <c r="C93" s="2">
        <v>77269</v>
      </c>
      <c r="D93" s="3" t="s">
        <v>226</v>
      </c>
      <c r="E93" s="2">
        <v>34</v>
      </c>
      <c r="F93" s="2">
        <v>29.83399</v>
      </c>
      <c r="G93" s="2">
        <v>-95.434240000000003</v>
      </c>
    </row>
    <row r="94" spans="1:7" x14ac:dyDescent="0.35">
      <c r="A94" s="2">
        <v>93</v>
      </c>
      <c r="B94" s="3" t="s">
        <v>318</v>
      </c>
      <c r="C94" s="2">
        <v>75016</v>
      </c>
      <c r="D94" s="3" t="s">
        <v>226</v>
      </c>
      <c r="E94" s="2">
        <v>35</v>
      </c>
      <c r="F94" s="2">
        <v>32.76726</v>
      </c>
      <c r="G94" s="2">
        <v>-96.777619999999999</v>
      </c>
    </row>
    <row r="95" spans="1:7" x14ac:dyDescent="0.35">
      <c r="A95" s="2">
        <v>94</v>
      </c>
      <c r="B95" s="3" t="s">
        <v>319</v>
      </c>
      <c r="C95" s="2">
        <v>75062</v>
      </c>
      <c r="D95" s="3" t="s">
        <v>226</v>
      </c>
      <c r="E95" s="2">
        <v>35</v>
      </c>
      <c r="F95" s="2">
        <v>32.846640000000001</v>
      </c>
      <c r="G95" s="2">
        <v>-96.967330000000004</v>
      </c>
    </row>
    <row r="96" spans="1:7" x14ac:dyDescent="0.35">
      <c r="A96" s="2">
        <v>95</v>
      </c>
      <c r="B96" s="3" t="s">
        <v>320</v>
      </c>
      <c r="C96" s="2">
        <v>78216</v>
      </c>
      <c r="D96" s="3" t="s">
        <v>226</v>
      </c>
      <c r="E96" s="2">
        <v>36</v>
      </c>
      <c r="F96" s="2">
        <v>29.528510000000001</v>
      </c>
      <c r="G96" s="2">
        <v>-98.492189999999994</v>
      </c>
    </row>
    <row r="97" spans="1:7" x14ac:dyDescent="0.35">
      <c r="A97" s="2">
        <v>96</v>
      </c>
      <c r="B97" s="3" t="s">
        <v>321</v>
      </c>
      <c r="C97" s="2">
        <v>78219</v>
      </c>
      <c r="D97" s="3" t="s">
        <v>226</v>
      </c>
      <c r="E97" s="2">
        <v>36</v>
      </c>
      <c r="F97" s="2">
        <v>29.448370000000001</v>
      </c>
      <c r="G97" s="2">
        <v>-98.399079999999998</v>
      </c>
    </row>
    <row r="98" spans="1:7" x14ac:dyDescent="0.35">
      <c r="A98" s="2">
        <v>97</v>
      </c>
      <c r="B98" s="3" t="s">
        <v>322</v>
      </c>
      <c r="C98" s="2">
        <v>98003</v>
      </c>
      <c r="D98" s="3" t="s">
        <v>226</v>
      </c>
      <c r="E98" s="2">
        <v>37</v>
      </c>
      <c r="F98" s="2">
        <v>47.311070000000001</v>
      </c>
      <c r="G98" s="2">
        <v>-122.31188</v>
      </c>
    </row>
    <row r="99" spans="1:7" x14ac:dyDescent="0.35">
      <c r="A99" s="2">
        <v>98</v>
      </c>
      <c r="B99" s="3" t="s">
        <v>323</v>
      </c>
      <c r="C99" s="2">
        <v>98108</v>
      </c>
      <c r="D99" s="3" t="s">
        <v>226</v>
      </c>
      <c r="E99" s="2">
        <v>38</v>
      </c>
      <c r="F99" s="2">
        <v>47.54618</v>
      </c>
      <c r="G99" s="2">
        <v>-122.31514</v>
      </c>
    </row>
    <row r="100" spans="1:7" x14ac:dyDescent="0.35">
      <c r="A100" s="2">
        <v>99</v>
      </c>
      <c r="B100" s="3" t="s">
        <v>324</v>
      </c>
      <c r="C100" s="2">
        <v>98109</v>
      </c>
      <c r="D100" s="3" t="s">
        <v>226</v>
      </c>
      <c r="E100" s="2">
        <v>38</v>
      </c>
      <c r="F100" s="2">
        <v>47.63064</v>
      </c>
      <c r="G100" s="2">
        <v>-122.34675</v>
      </c>
    </row>
    <row r="101" spans="1:7" x14ac:dyDescent="0.35">
      <c r="A101" s="2">
        <v>100</v>
      </c>
      <c r="B101" s="3" t="s">
        <v>325</v>
      </c>
      <c r="C101" s="2">
        <v>98122</v>
      </c>
      <c r="D101" s="3" t="s">
        <v>226</v>
      </c>
      <c r="E101" s="2">
        <v>38</v>
      </c>
      <c r="F101" s="2">
        <v>47.61157</v>
      </c>
      <c r="G101" s="2">
        <v>-122.30406000000001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selection sqref="A1:XFD1048576"/>
    </sheetView>
  </sheetViews>
  <sheetFormatPr defaultRowHeight="14.5" x14ac:dyDescent="0.35"/>
  <cols>
    <col min="1" max="1" width="13.81640625" customWidth="1"/>
  </cols>
  <sheetData>
    <row r="1" spans="1:1" x14ac:dyDescent="0.35">
      <c r="A1" s="1" t="s">
        <v>326</v>
      </c>
    </row>
    <row r="2" spans="1:1" x14ac:dyDescent="0.35">
      <c r="A2" s="2">
        <v>2010</v>
      </c>
    </row>
    <row r="3" spans="1:1" x14ac:dyDescent="0.35">
      <c r="A3" s="2">
        <v>2011</v>
      </c>
    </row>
    <row r="4" spans="1:1" x14ac:dyDescent="0.35">
      <c r="A4" s="2">
        <v>2012</v>
      </c>
    </row>
    <row r="5" spans="1:1" x14ac:dyDescent="0.35">
      <c r="A5" s="2">
        <v>2013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8"/>
  <sheetViews>
    <sheetView workbookViewId="0">
      <selection activeCell="O8" sqref="O8"/>
    </sheetView>
  </sheetViews>
  <sheetFormatPr defaultRowHeight="14.5" x14ac:dyDescent="0.35"/>
  <cols>
    <col min="1" max="1" width="13.81640625" customWidth="1"/>
    <col min="2" max="2" width="25" customWidth="1"/>
    <col min="3" max="4" width="13.81640625" customWidth="1"/>
  </cols>
  <sheetData>
    <row r="1" spans="1:4" x14ac:dyDescent="0.35">
      <c r="A1" s="1" t="s">
        <v>327</v>
      </c>
      <c r="B1" s="1" t="s">
        <v>328</v>
      </c>
      <c r="C1" s="1" t="s">
        <v>329</v>
      </c>
      <c r="D1" s="1" t="s">
        <v>213</v>
      </c>
    </row>
    <row r="2" spans="1:4" x14ac:dyDescent="0.35">
      <c r="A2" s="2">
        <v>1</v>
      </c>
      <c r="B2" s="3" t="s">
        <v>330</v>
      </c>
      <c r="C2" s="2">
        <v>1</v>
      </c>
      <c r="D2" s="2">
        <v>702</v>
      </c>
    </row>
    <row r="3" spans="1:4" x14ac:dyDescent="0.35">
      <c r="A3" s="2">
        <v>2</v>
      </c>
      <c r="B3" s="3" t="s">
        <v>331</v>
      </c>
      <c r="C3" s="2">
        <v>1</v>
      </c>
      <c r="D3" s="2">
        <v>634</v>
      </c>
    </row>
    <row r="4" spans="1:4" x14ac:dyDescent="0.35">
      <c r="A4" s="2">
        <v>3</v>
      </c>
      <c r="B4" s="3" t="s">
        <v>332</v>
      </c>
      <c r="C4" s="2">
        <v>1</v>
      </c>
      <c r="D4" s="2">
        <v>532</v>
      </c>
    </row>
    <row r="5" spans="1:4" x14ac:dyDescent="0.35">
      <c r="A5" s="2">
        <v>4</v>
      </c>
      <c r="B5" s="3" t="s">
        <v>333</v>
      </c>
      <c r="C5" s="2">
        <v>1</v>
      </c>
      <c r="D5" s="2">
        <v>506</v>
      </c>
    </row>
    <row r="6" spans="1:4" x14ac:dyDescent="0.35">
      <c r="A6" s="2">
        <v>5</v>
      </c>
      <c r="B6" s="3" t="s">
        <v>334</v>
      </c>
      <c r="C6" s="2">
        <v>1</v>
      </c>
      <c r="D6" s="2">
        <v>497</v>
      </c>
    </row>
    <row r="7" spans="1:4" x14ac:dyDescent="0.35">
      <c r="A7" s="2">
        <v>6</v>
      </c>
      <c r="B7" s="3" t="s">
        <v>335</v>
      </c>
      <c r="C7" s="2">
        <v>1</v>
      </c>
      <c r="D7" s="2">
        <v>489</v>
      </c>
    </row>
    <row r="8" spans="1:4" x14ac:dyDescent="0.35">
      <c r="A8" s="2">
        <v>7</v>
      </c>
      <c r="B8" s="3" t="s">
        <v>336</v>
      </c>
      <c r="C8" s="2">
        <v>1</v>
      </c>
      <c r="D8" s="2">
        <v>395</v>
      </c>
    </row>
    <row r="9" spans="1:4" x14ac:dyDescent="0.35">
      <c r="A9" s="2">
        <v>8</v>
      </c>
      <c r="B9" s="3" t="s">
        <v>337</v>
      </c>
      <c r="C9" s="2">
        <v>1</v>
      </c>
      <c r="D9" s="2">
        <v>380</v>
      </c>
    </row>
    <row r="10" spans="1:4" x14ac:dyDescent="0.35">
      <c r="A10" s="2">
        <v>9</v>
      </c>
      <c r="B10" s="3" t="s">
        <v>338</v>
      </c>
      <c r="C10" s="2">
        <v>1</v>
      </c>
      <c r="D10" s="2">
        <v>336</v>
      </c>
    </row>
    <row r="11" spans="1:4" x14ac:dyDescent="0.35">
      <c r="A11" s="2">
        <v>10</v>
      </c>
      <c r="B11" s="3" t="s">
        <v>339</v>
      </c>
      <c r="C11" s="2">
        <v>1</v>
      </c>
      <c r="D11" s="2">
        <v>236</v>
      </c>
    </row>
    <row r="12" spans="1:4" x14ac:dyDescent="0.35">
      <c r="A12" s="2">
        <v>11</v>
      </c>
      <c r="B12" s="3" t="s">
        <v>340</v>
      </c>
      <c r="C12" s="2">
        <v>1</v>
      </c>
      <c r="D12" s="2">
        <v>208</v>
      </c>
    </row>
    <row r="13" spans="1:4" x14ac:dyDescent="0.35">
      <c r="A13" s="2">
        <v>12</v>
      </c>
      <c r="B13" s="3" t="s">
        <v>341</v>
      </c>
      <c r="C13" s="2">
        <v>1</v>
      </c>
      <c r="D13" s="2">
        <v>592</v>
      </c>
    </row>
    <row r="14" spans="1:4" x14ac:dyDescent="0.35">
      <c r="A14" s="2">
        <v>13</v>
      </c>
      <c r="B14" s="3" t="s">
        <v>342</v>
      </c>
      <c r="C14" s="2">
        <v>1</v>
      </c>
      <c r="D14" s="2">
        <v>446</v>
      </c>
    </row>
    <row r="15" spans="1:4" x14ac:dyDescent="0.35">
      <c r="A15" s="2">
        <v>14</v>
      </c>
      <c r="B15" s="3" t="s">
        <v>343</v>
      </c>
      <c r="C15" s="2">
        <v>1</v>
      </c>
      <c r="D15" s="2">
        <v>482</v>
      </c>
    </row>
    <row r="16" spans="1:4" x14ac:dyDescent="0.35">
      <c r="A16" s="2">
        <v>15</v>
      </c>
      <c r="B16" s="3" t="s">
        <v>344</v>
      </c>
      <c r="C16" s="2">
        <v>1</v>
      </c>
      <c r="D16" s="2">
        <v>428</v>
      </c>
    </row>
    <row r="17" spans="1:4" x14ac:dyDescent="0.35">
      <c r="A17" s="2">
        <v>16</v>
      </c>
      <c r="B17" s="3" t="s">
        <v>345</v>
      </c>
      <c r="C17" s="2">
        <v>1</v>
      </c>
      <c r="D17" s="2">
        <v>351</v>
      </c>
    </row>
    <row r="18" spans="1:4" x14ac:dyDescent="0.35">
      <c r="A18" s="2">
        <v>17</v>
      </c>
      <c r="B18" s="3" t="s">
        <v>346</v>
      </c>
      <c r="C18" s="2">
        <v>1</v>
      </c>
      <c r="D18" s="2">
        <v>294</v>
      </c>
    </row>
    <row r="19" spans="1:4" x14ac:dyDescent="0.35">
      <c r="A19" s="2">
        <v>18</v>
      </c>
      <c r="B19" s="3" t="s">
        <v>347</v>
      </c>
      <c r="C19" s="2">
        <v>1</v>
      </c>
      <c r="D19" s="2">
        <v>154</v>
      </c>
    </row>
    <row r="20" spans="1:4" x14ac:dyDescent="0.35">
      <c r="A20" s="2">
        <v>19</v>
      </c>
      <c r="B20" s="3" t="s">
        <v>348</v>
      </c>
      <c r="C20" s="2">
        <v>1</v>
      </c>
      <c r="D20" s="2">
        <v>129</v>
      </c>
    </row>
    <row r="21" spans="1:4" x14ac:dyDescent="0.35">
      <c r="A21" s="2">
        <v>20</v>
      </c>
      <c r="B21" s="3" t="s">
        <v>349</v>
      </c>
      <c r="C21" s="2">
        <v>1</v>
      </c>
      <c r="D21" s="2">
        <v>659</v>
      </c>
    </row>
    <row r="22" spans="1:4" x14ac:dyDescent="0.35">
      <c r="A22" s="2">
        <v>21</v>
      </c>
      <c r="B22" s="3" t="s">
        <v>350</v>
      </c>
      <c r="C22" s="2">
        <v>1</v>
      </c>
      <c r="D22" s="2">
        <v>634</v>
      </c>
    </row>
    <row r="23" spans="1:4" x14ac:dyDescent="0.35">
      <c r="A23" s="2">
        <v>22</v>
      </c>
      <c r="B23" s="3" t="s">
        <v>351</v>
      </c>
      <c r="C23" s="2">
        <v>1</v>
      </c>
      <c r="D23" s="2">
        <v>411</v>
      </c>
    </row>
    <row r="24" spans="1:4" x14ac:dyDescent="0.35">
      <c r="A24" s="2">
        <v>23</v>
      </c>
      <c r="B24" s="3" t="s">
        <v>352</v>
      </c>
      <c r="C24" s="2">
        <v>1</v>
      </c>
      <c r="D24" s="2">
        <v>484</v>
      </c>
    </row>
    <row r="25" spans="1:4" x14ac:dyDescent="0.35">
      <c r="A25" s="2">
        <v>24</v>
      </c>
      <c r="B25" s="3" t="s">
        <v>353</v>
      </c>
      <c r="C25" s="2">
        <v>1</v>
      </c>
      <c r="D25" s="2">
        <v>456</v>
      </c>
    </row>
    <row r="26" spans="1:4" x14ac:dyDescent="0.35">
      <c r="A26" s="2">
        <v>25</v>
      </c>
      <c r="B26" s="3" t="s">
        <v>354</v>
      </c>
      <c r="C26" s="2">
        <v>1</v>
      </c>
      <c r="D26" s="2">
        <v>364</v>
      </c>
    </row>
    <row r="27" spans="1:4" x14ac:dyDescent="0.35">
      <c r="A27" s="2">
        <v>26</v>
      </c>
      <c r="B27" s="3" t="s">
        <v>355</v>
      </c>
      <c r="C27" s="2">
        <v>1</v>
      </c>
      <c r="D27" s="2">
        <v>252</v>
      </c>
    </row>
    <row r="28" spans="1:4" x14ac:dyDescent="0.35">
      <c r="A28" s="2">
        <v>27</v>
      </c>
      <c r="B28" s="3" t="s">
        <v>356</v>
      </c>
      <c r="C28" s="2">
        <v>1</v>
      </c>
      <c r="D28" s="2">
        <v>769</v>
      </c>
    </row>
    <row r="29" spans="1:4" x14ac:dyDescent="0.35">
      <c r="A29" s="2">
        <v>28</v>
      </c>
      <c r="B29" s="3" t="s">
        <v>357</v>
      </c>
      <c r="C29" s="2">
        <v>1</v>
      </c>
      <c r="D29" s="2">
        <v>421</v>
      </c>
    </row>
    <row r="30" spans="1:4" x14ac:dyDescent="0.35">
      <c r="A30" s="2">
        <v>29</v>
      </c>
      <c r="B30" s="3" t="s">
        <v>358</v>
      </c>
      <c r="C30" s="2">
        <v>1</v>
      </c>
      <c r="D30" s="2">
        <v>647</v>
      </c>
    </row>
    <row r="31" spans="1:4" ht="43.5" x14ac:dyDescent="0.35">
      <c r="A31" s="2">
        <v>30</v>
      </c>
      <c r="B31" s="3" t="s">
        <v>359</v>
      </c>
      <c r="C31" s="2">
        <v>2</v>
      </c>
      <c r="D31" s="2">
        <v>12</v>
      </c>
    </row>
    <row r="32" spans="1:4" ht="29" x14ac:dyDescent="0.35">
      <c r="A32" s="2">
        <v>31</v>
      </c>
      <c r="B32" s="3" t="s">
        <v>360</v>
      </c>
      <c r="C32" s="2">
        <v>2</v>
      </c>
      <c r="D32" s="2">
        <v>8</v>
      </c>
    </row>
    <row r="33" spans="1:4" x14ac:dyDescent="0.35">
      <c r="A33" s="2">
        <v>32</v>
      </c>
      <c r="B33" s="3" t="s">
        <v>361</v>
      </c>
      <c r="C33" s="2">
        <v>2</v>
      </c>
      <c r="D33" s="2">
        <v>5</v>
      </c>
    </row>
    <row r="34" spans="1:4" ht="43.5" x14ac:dyDescent="0.35">
      <c r="A34" s="2">
        <v>33</v>
      </c>
      <c r="B34" s="3" t="s">
        <v>362</v>
      </c>
      <c r="C34" s="2">
        <v>2</v>
      </c>
      <c r="D34" s="2">
        <v>32</v>
      </c>
    </row>
    <row r="35" spans="1:4" x14ac:dyDescent="0.35">
      <c r="A35" s="2">
        <v>34</v>
      </c>
      <c r="B35" s="3" t="s">
        <v>363</v>
      </c>
      <c r="C35" s="2">
        <v>2</v>
      </c>
      <c r="D35" s="2">
        <v>9</v>
      </c>
    </row>
    <row r="36" spans="1:4" ht="43.5" x14ac:dyDescent="0.35">
      <c r="A36" s="2">
        <v>35</v>
      </c>
      <c r="B36" s="3" t="s">
        <v>364</v>
      </c>
      <c r="C36" s="2">
        <v>2</v>
      </c>
      <c r="D36" s="2">
        <v>17</v>
      </c>
    </row>
    <row r="37" spans="1:4" ht="29" x14ac:dyDescent="0.35">
      <c r="A37" s="2">
        <v>36</v>
      </c>
      <c r="B37" s="3" t="s">
        <v>365</v>
      </c>
      <c r="C37" s="2">
        <v>2</v>
      </c>
      <c r="D37" s="2">
        <v>10</v>
      </c>
    </row>
    <row r="38" spans="1:4" ht="29" x14ac:dyDescent="0.35">
      <c r="A38" s="2">
        <v>37</v>
      </c>
      <c r="B38" s="3" t="s">
        <v>366</v>
      </c>
      <c r="C38" s="2">
        <v>2</v>
      </c>
      <c r="D38" s="2">
        <v>11</v>
      </c>
    </row>
    <row r="39" spans="1:4" ht="29" x14ac:dyDescent="0.35">
      <c r="A39" s="2">
        <v>38</v>
      </c>
      <c r="B39" s="3" t="s">
        <v>367</v>
      </c>
      <c r="C39" s="2">
        <v>2</v>
      </c>
      <c r="D39" s="2">
        <v>8</v>
      </c>
    </row>
    <row r="40" spans="1:4" ht="29" x14ac:dyDescent="0.35">
      <c r="A40" s="2">
        <v>39</v>
      </c>
      <c r="B40" s="3" t="s">
        <v>368</v>
      </c>
      <c r="C40" s="2">
        <v>2</v>
      </c>
      <c r="D40" s="2">
        <v>21</v>
      </c>
    </row>
    <row r="41" spans="1:4" ht="29" x14ac:dyDescent="0.35">
      <c r="A41" s="2">
        <v>40</v>
      </c>
      <c r="B41" s="3" t="s">
        <v>369</v>
      </c>
      <c r="C41" s="2">
        <v>2</v>
      </c>
      <c r="D41" s="2">
        <v>15</v>
      </c>
    </row>
    <row r="42" spans="1:4" ht="29" x14ac:dyDescent="0.35">
      <c r="A42" s="2">
        <v>41</v>
      </c>
      <c r="B42" s="3" t="s">
        <v>370</v>
      </c>
      <c r="C42" s="2">
        <v>2</v>
      </c>
      <c r="D42" s="2">
        <v>90</v>
      </c>
    </row>
    <row r="43" spans="1:4" ht="29" x14ac:dyDescent="0.35">
      <c r="A43" s="2">
        <v>42</v>
      </c>
      <c r="B43" s="3" t="s">
        <v>371</v>
      </c>
      <c r="C43" s="2">
        <v>2</v>
      </c>
      <c r="D43" s="2">
        <v>13</v>
      </c>
    </row>
    <row r="44" spans="1:4" x14ac:dyDescent="0.35">
      <c r="A44" s="2">
        <v>43</v>
      </c>
      <c r="B44" s="3" t="s">
        <v>372</v>
      </c>
      <c r="C44" s="2">
        <v>2</v>
      </c>
      <c r="D44" s="2">
        <v>41</v>
      </c>
    </row>
    <row r="45" spans="1:4" x14ac:dyDescent="0.35">
      <c r="A45" s="2">
        <v>44</v>
      </c>
      <c r="B45" s="3" t="s">
        <v>373</v>
      </c>
      <c r="C45" s="2">
        <v>2</v>
      </c>
      <c r="D45" s="2">
        <v>14</v>
      </c>
    </row>
    <row r="46" spans="1:4" ht="29" x14ac:dyDescent="0.35">
      <c r="A46" s="2">
        <v>45</v>
      </c>
      <c r="B46" s="3" t="s">
        <v>374</v>
      </c>
      <c r="C46" s="2">
        <v>2</v>
      </c>
      <c r="D46" s="2">
        <v>31</v>
      </c>
    </row>
    <row r="47" spans="1:4" ht="29" x14ac:dyDescent="0.35">
      <c r="A47" s="2">
        <v>46</v>
      </c>
      <c r="B47" s="3" t="s">
        <v>375</v>
      </c>
      <c r="C47" s="2">
        <v>2</v>
      </c>
      <c r="D47" s="2">
        <v>33</v>
      </c>
    </row>
    <row r="48" spans="1:4" ht="29" x14ac:dyDescent="0.35">
      <c r="A48" s="2">
        <v>47</v>
      </c>
      <c r="B48" s="3" t="s">
        <v>376</v>
      </c>
      <c r="C48" s="2">
        <v>2</v>
      </c>
      <c r="D48" s="2">
        <v>66</v>
      </c>
    </row>
    <row r="49" spans="1:4" ht="29" x14ac:dyDescent="0.35">
      <c r="A49" s="2">
        <v>48</v>
      </c>
      <c r="B49" s="3" t="s">
        <v>377</v>
      </c>
      <c r="C49" s="2">
        <v>2</v>
      </c>
      <c r="D49" s="2">
        <v>3</v>
      </c>
    </row>
    <row r="50" spans="1:4" ht="29" x14ac:dyDescent="0.35">
      <c r="A50" s="2">
        <v>49</v>
      </c>
      <c r="B50" s="3" t="s">
        <v>378</v>
      </c>
      <c r="C50" s="2">
        <v>2</v>
      </c>
      <c r="D50" s="2">
        <v>30</v>
      </c>
    </row>
    <row r="51" spans="1:4" x14ac:dyDescent="0.35">
      <c r="A51" s="2">
        <v>50</v>
      </c>
      <c r="B51" s="3" t="s">
        <v>379</v>
      </c>
      <c r="C51" s="2">
        <v>2</v>
      </c>
      <c r="D51" s="2">
        <v>65</v>
      </c>
    </row>
    <row r="52" spans="1:4" x14ac:dyDescent="0.35">
      <c r="A52" s="2">
        <v>51</v>
      </c>
      <c r="B52" s="3" t="s">
        <v>380</v>
      </c>
      <c r="C52" s="2">
        <v>2</v>
      </c>
      <c r="D52" s="2">
        <v>18</v>
      </c>
    </row>
    <row r="53" spans="1:4" ht="29" x14ac:dyDescent="0.35">
      <c r="A53" s="2">
        <v>52</v>
      </c>
      <c r="B53" s="3" t="s">
        <v>381</v>
      </c>
      <c r="C53" s="2">
        <v>3</v>
      </c>
      <c r="D53" s="2">
        <v>5</v>
      </c>
    </row>
    <row r="54" spans="1:4" x14ac:dyDescent="0.35">
      <c r="A54" s="2">
        <v>53</v>
      </c>
      <c r="B54" s="3" t="s">
        <v>382</v>
      </c>
      <c r="C54" s="2">
        <v>3</v>
      </c>
      <c r="D54" s="2">
        <v>19</v>
      </c>
    </row>
    <row r="55" spans="1:4" ht="43.5" x14ac:dyDescent="0.35">
      <c r="A55" s="2">
        <v>54</v>
      </c>
      <c r="B55" s="3" t="s">
        <v>383</v>
      </c>
      <c r="C55" s="2">
        <v>3</v>
      </c>
      <c r="D55" s="2">
        <v>41</v>
      </c>
    </row>
    <row r="56" spans="1:4" ht="29" x14ac:dyDescent="0.35">
      <c r="A56" s="2">
        <v>55</v>
      </c>
      <c r="B56" s="3" t="s">
        <v>384</v>
      </c>
      <c r="C56" s="2">
        <v>3</v>
      </c>
      <c r="D56" s="2">
        <v>20</v>
      </c>
    </row>
    <row r="57" spans="1:4" ht="29" x14ac:dyDescent="0.35">
      <c r="A57" s="2">
        <v>56</v>
      </c>
      <c r="B57" s="3" t="s">
        <v>385</v>
      </c>
      <c r="C57" s="2">
        <v>3</v>
      </c>
      <c r="D57" s="2">
        <v>19</v>
      </c>
    </row>
    <row r="58" spans="1:4" x14ac:dyDescent="0.35">
      <c r="A58" s="2">
        <v>57</v>
      </c>
      <c r="B58" s="3" t="s">
        <v>386</v>
      </c>
      <c r="C58" s="2">
        <v>3</v>
      </c>
      <c r="D58" s="2">
        <v>4</v>
      </c>
    </row>
    <row r="59" spans="1:4" ht="29" x14ac:dyDescent="0.35">
      <c r="A59" s="2">
        <v>58</v>
      </c>
      <c r="B59" s="3" t="s">
        <v>387</v>
      </c>
      <c r="C59" s="2">
        <v>3</v>
      </c>
      <c r="D59" s="2">
        <v>14</v>
      </c>
    </row>
    <row r="60" spans="1:4" ht="29" x14ac:dyDescent="0.35">
      <c r="A60" s="2">
        <v>59</v>
      </c>
      <c r="B60" s="3" t="s">
        <v>388</v>
      </c>
      <c r="C60" s="2">
        <v>3</v>
      </c>
      <c r="D60" s="2">
        <v>11</v>
      </c>
    </row>
    <row r="61" spans="1:4" ht="29" x14ac:dyDescent="0.35">
      <c r="A61" s="2">
        <v>60</v>
      </c>
      <c r="B61" s="3" t="s">
        <v>389</v>
      </c>
      <c r="C61" s="2">
        <v>3</v>
      </c>
      <c r="D61" s="2">
        <v>4</v>
      </c>
    </row>
    <row r="62" spans="1:4" ht="29" x14ac:dyDescent="0.35">
      <c r="A62" s="2">
        <v>61</v>
      </c>
      <c r="B62" s="3" t="s">
        <v>390</v>
      </c>
      <c r="C62" s="2">
        <v>3</v>
      </c>
      <c r="D62" s="2">
        <v>4</v>
      </c>
    </row>
    <row r="63" spans="1:4" ht="43.5" x14ac:dyDescent="0.35">
      <c r="A63" s="2">
        <v>62</v>
      </c>
      <c r="B63" s="3" t="s">
        <v>391</v>
      </c>
      <c r="C63" s="2">
        <v>3</v>
      </c>
      <c r="D63" s="2">
        <v>6</v>
      </c>
    </row>
    <row r="64" spans="1:4" ht="29" x14ac:dyDescent="0.35">
      <c r="A64" s="2">
        <v>63</v>
      </c>
      <c r="B64" s="3" t="s">
        <v>392</v>
      </c>
      <c r="C64" s="2">
        <v>3</v>
      </c>
      <c r="D64" s="2">
        <v>3</v>
      </c>
    </row>
    <row r="65" spans="1:4" ht="29" x14ac:dyDescent="0.35">
      <c r="A65" s="2">
        <v>64</v>
      </c>
      <c r="B65" s="3" t="s">
        <v>393</v>
      </c>
      <c r="C65" s="2">
        <v>3</v>
      </c>
      <c r="D65" s="2">
        <v>6</v>
      </c>
    </row>
    <row r="66" spans="1:4" ht="29" x14ac:dyDescent="0.35">
      <c r="A66" s="2">
        <v>65</v>
      </c>
      <c r="B66" s="3" t="s">
        <v>394</v>
      </c>
      <c r="C66" s="2">
        <v>3</v>
      </c>
      <c r="D66" s="2">
        <v>20</v>
      </c>
    </row>
    <row r="67" spans="1:4" ht="29" x14ac:dyDescent="0.35">
      <c r="A67" s="2">
        <v>66</v>
      </c>
      <c r="B67" s="3" t="s">
        <v>395</v>
      </c>
      <c r="C67" s="2">
        <v>3</v>
      </c>
      <c r="D67" s="2">
        <v>5</v>
      </c>
    </row>
    <row r="68" spans="1:4" ht="43.5" x14ac:dyDescent="0.35">
      <c r="A68" s="2">
        <v>67</v>
      </c>
      <c r="B68" s="3" t="s">
        <v>396</v>
      </c>
      <c r="C68" s="2">
        <v>3</v>
      </c>
      <c r="D68" s="2">
        <v>8</v>
      </c>
    </row>
    <row r="69" spans="1:4" x14ac:dyDescent="0.35">
      <c r="A69" s="2">
        <v>68</v>
      </c>
      <c r="B69" s="3" t="s">
        <v>382</v>
      </c>
      <c r="C69" s="2">
        <v>3</v>
      </c>
      <c r="D69" s="2">
        <v>23</v>
      </c>
    </row>
    <row r="70" spans="1:4" ht="29" x14ac:dyDescent="0.35">
      <c r="A70" s="2">
        <v>69</v>
      </c>
      <c r="B70" s="3" t="s">
        <v>397</v>
      </c>
      <c r="C70" s="2">
        <v>3</v>
      </c>
      <c r="D70" s="2">
        <v>21</v>
      </c>
    </row>
    <row r="71" spans="1:4" ht="29" x14ac:dyDescent="0.35">
      <c r="A71" s="2">
        <v>70</v>
      </c>
      <c r="B71" s="3" t="s">
        <v>398</v>
      </c>
      <c r="C71" s="2">
        <v>4</v>
      </c>
      <c r="D71" s="2">
        <v>6</v>
      </c>
    </row>
    <row r="72" spans="1:4" ht="29" x14ac:dyDescent="0.35">
      <c r="A72" s="2">
        <v>71</v>
      </c>
      <c r="B72" s="3" t="s">
        <v>399</v>
      </c>
      <c r="C72" s="2">
        <v>4</v>
      </c>
      <c r="D72" s="2">
        <v>12</v>
      </c>
    </row>
    <row r="73" spans="1:4" ht="29" x14ac:dyDescent="0.35">
      <c r="A73" s="2">
        <v>72</v>
      </c>
      <c r="B73" s="3" t="s">
        <v>400</v>
      </c>
      <c r="C73" s="2">
        <v>4</v>
      </c>
      <c r="D73" s="2">
        <v>6</v>
      </c>
    </row>
    <row r="74" spans="1:4" ht="29" x14ac:dyDescent="0.35">
      <c r="A74" s="2">
        <v>73</v>
      </c>
      <c r="B74" s="3" t="s">
        <v>401</v>
      </c>
      <c r="C74" s="2">
        <v>4</v>
      </c>
      <c r="D74" s="2">
        <v>5</v>
      </c>
    </row>
    <row r="75" spans="1:4" ht="29" x14ac:dyDescent="0.35">
      <c r="A75" s="2">
        <v>74</v>
      </c>
      <c r="B75" s="3" t="s">
        <v>402</v>
      </c>
      <c r="C75" s="2">
        <v>4</v>
      </c>
      <c r="D75" s="2">
        <v>6</v>
      </c>
    </row>
    <row r="76" spans="1:4" ht="29" x14ac:dyDescent="0.35">
      <c r="A76" s="2">
        <v>75</v>
      </c>
      <c r="B76" s="3" t="s">
        <v>403</v>
      </c>
      <c r="C76" s="2">
        <v>4</v>
      </c>
      <c r="D76" s="2">
        <v>12</v>
      </c>
    </row>
    <row r="77" spans="1:4" ht="29" x14ac:dyDescent="0.35">
      <c r="A77" s="2">
        <v>76</v>
      </c>
      <c r="B77" s="3" t="s">
        <v>404</v>
      </c>
      <c r="C77" s="2">
        <v>4</v>
      </c>
      <c r="D77" s="2">
        <v>15</v>
      </c>
    </row>
    <row r="78" spans="1:4" ht="43.5" x14ac:dyDescent="0.35">
      <c r="A78" s="2">
        <v>77</v>
      </c>
      <c r="B78" s="3" t="s">
        <v>405</v>
      </c>
      <c r="C78" s="2">
        <v>4</v>
      </c>
      <c r="D78" s="2">
        <v>13</v>
      </c>
    </row>
    <row r="79" spans="1:4" ht="29" x14ac:dyDescent="0.35">
      <c r="A79" s="2">
        <v>78</v>
      </c>
      <c r="B79" s="3" t="s">
        <v>406</v>
      </c>
      <c r="C79" s="2">
        <v>4</v>
      </c>
      <c r="D79" s="2">
        <v>14</v>
      </c>
    </row>
    <row r="80" spans="1:4" ht="29" x14ac:dyDescent="0.35">
      <c r="A80" s="2">
        <v>79</v>
      </c>
      <c r="B80" s="3" t="s">
        <v>407</v>
      </c>
      <c r="C80" s="2">
        <v>4</v>
      </c>
      <c r="D80" s="2">
        <v>5</v>
      </c>
    </row>
    <row r="81" spans="1:4" ht="29" x14ac:dyDescent="0.35">
      <c r="A81" s="2">
        <v>80</v>
      </c>
      <c r="B81" s="3" t="s">
        <v>408</v>
      </c>
      <c r="C81" s="2">
        <v>4</v>
      </c>
      <c r="D81" s="2">
        <v>23</v>
      </c>
    </row>
    <row r="82" spans="1:4" ht="29" x14ac:dyDescent="0.35">
      <c r="A82" s="2">
        <v>81</v>
      </c>
      <c r="B82" s="3" t="s">
        <v>409</v>
      </c>
      <c r="C82" s="2">
        <v>4</v>
      </c>
      <c r="D82" s="2">
        <v>8</v>
      </c>
    </row>
    <row r="83" spans="1:4" ht="29" x14ac:dyDescent="0.35">
      <c r="A83" s="2">
        <v>82</v>
      </c>
      <c r="B83" s="3" t="s">
        <v>410</v>
      </c>
      <c r="C83" s="2">
        <v>4</v>
      </c>
      <c r="D83" s="2">
        <v>29</v>
      </c>
    </row>
    <row r="84" spans="1:4" ht="29" x14ac:dyDescent="0.35">
      <c r="A84" s="2">
        <v>83</v>
      </c>
      <c r="B84" s="3" t="s">
        <v>411</v>
      </c>
      <c r="C84" s="2">
        <v>4</v>
      </c>
      <c r="D84" s="2">
        <v>6</v>
      </c>
    </row>
    <row r="85" spans="1:4" ht="43.5" x14ac:dyDescent="0.35">
      <c r="A85" s="2">
        <v>84</v>
      </c>
      <c r="B85" s="3" t="s">
        <v>412</v>
      </c>
      <c r="C85" s="2">
        <v>4</v>
      </c>
      <c r="D85" s="2">
        <v>6</v>
      </c>
    </row>
    <row r="86" spans="1:4" ht="29" x14ac:dyDescent="0.35">
      <c r="A86" s="2">
        <v>85</v>
      </c>
      <c r="B86" s="3" t="s">
        <v>413</v>
      </c>
      <c r="C86" s="2">
        <v>4</v>
      </c>
      <c r="D86" s="2">
        <v>4</v>
      </c>
    </row>
    <row r="87" spans="1:4" ht="29" x14ac:dyDescent="0.35">
      <c r="A87" s="2">
        <v>86</v>
      </c>
      <c r="B87" s="3" t="s">
        <v>414</v>
      </c>
      <c r="C87" s="2">
        <v>4</v>
      </c>
      <c r="D87" s="2">
        <v>22</v>
      </c>
    </row>
    <row r="88" spans="1:4" ht="43.5" x14ac:dyDescent="0.35">
      <c r="A88" s="2">
        <v>87</v>
      </c>
      <c r="B88" s="3" t="s">
        <v>415</v>
      </c>
      <c r="C88" s="2">
        <v>4</v>
      </c>
      <c r="D88" s="2">
        <v>11</v>
      </c>
    </row>
    <row r="89" spans="1:4" ht="29" x14ac:dyDescent="0.35">
      <c r="A89" s="2">
        <v>88</v>
      </c>
      <c r="B89" s="3" t="s">
        <v>416</v>
      </c>
      <c r="C89" s="2">
        <v>4</v>
      </c>
      <c r="D89" s="2">
        <v>16</v>
      </c>
    </row>
    <row r="90" spans="1:4" x14ac:dyDescent="0.35">
      <c r="A90" s="2">
        <v>89</v>
      </c>
      <c r="B90" s="3" t="s">
        <v>417</v>
      </c>
      <c r="C90" s="2">
        <v>5</v>
      </c>
      <c r="D90" s="2">
        <v>543</v>
      </c>
    </row>
    <row r="91" spans="1:4" ht="29" x14ac:dyDescent="0.35">
      <c r="A91" s="2">
        <v>90</v>
      </c>
      <c r="B91" s="3" t="s">
        <v>418</v>
      </c>
      <c r="C91" s="2">
        <v>5</v>
      </c>
      <c r="D91" s="2">
        <v>670</v>
      </c>
    </row>
    <row r="92" spans="1:4" x14ac:dyDescent="0.35">
      <c r="A92" s="2">
        <v>91</v>
      </c>
      <c r="B92" s="3" t="s">
        <v>419</v>
      </c>
      <c r="C92" s="2">
        <v>5</v>
      </c>
      <c r="D92" s="2">
        <v>480</v>
      </c>
    </row>
    <row r="93" spans="1:4" x14ac:dyDescent="0.35">
      <c r="A93" s="2">
        <v>92</v>
      </c>
      <c r="B93" s="3" t="s">
        <v>420</v>
      </c>
      <c r="C93" s="2">
        <v>5</v>
      </c>
      <c r="D93" s="2">
        <v>632</v>
      </c>
    </row>
    <row r="94" spans="1:4" x14ac:dyDescent="0.35">
      <c r="A94" s="2">
        <v>93</v>
      </c>
      <c r="B94" s="3" t="s">
        <v>421</v>
      </c>
      <c r="C94" s="2">
        <v>5</v>
      </c>
      <c r="D94" s="2">
        <v>712</v>
      </c>
    </row>
    <row r="95" spans="1:4" x14ac:dyDescent="0.35">
      <c r="A95" s="2">
        <v>94</v>
      </c>
      <c r="B95" s="3" t="s">
        <v>422</v>
      </c>
      <c r="C95" s="2">
        <v>5</v>
      </c>
      <c r="D95" s="2">
        <v>487</v>
      </c>
    </row>
    <row r="96" spans="1:4" x14ac:dyDescent="0.35">
      <c r="A96" s="2">
        <v>95</v>
      </c>
      <c r="B96" s="3" t="s">
        <v>423</v>
      </c>
      <c r="C96" s="2">
        <v>5</v>
      </c>
      <c r="D96" s="2">
        <v>895</v>
      </c>
    </row>
    <row r="97" spans="1:4" ht="29" x14ac:dyDescent="0.35">
      <c r="A97" s="2">
        <v>96</v>
      </c>
      <c r="B97" s="3" t="s">
        <v>424</v>
      </c>
      <c r="C97" s="2">
        <v>5</v>
      </c>
      <c r="D97" s="2">
        <v>904</v>
      </c>
    </row>
    <row r="98" spans="1:4" ht="29" x14ac:dyDescent="0.35">
      <c r="A98" s="2">
        <v>97</v>
      </c>
      <c r="B98" s="3" t="s">
        <v>425</v>
      </c>
      <c r="C98" s="2">
        <v>5</v>
      </c>
      <c r="D98" s="2">
        <v>888</v>
      </c>
    </row>
    <row r="99" spans="1:4" x14ac:dyDescent="0.35">
      <c r="A99" s="2">
        <v>98</v>
      </c>
      <c r="B99" s="3" t="s">
        <v>426</v>
      </c>
      <c r="C99" s="2">
        <v>5</v>
      </c>
      <c r="D99" s="2">
        <v>1859</v>
      </c>
    </row>
    <row r="100" spans="1:4" x14ac:dyDescent="0.35">
      <c r="A100" s="2">
        <v>99</v>
      </c>
      <c r="B100" s="3" t="s">
        <v>427</v>
      </c>
      <c r="C100" s="2">
        <v>5</v>
      </c>
      <c r="D100" s="2">
        <v>1611</v>
      </c>
    </row>
    <row r="101" spans="1:4" x14ac:dyDescent="0.35">
      <c r="A101" s="2">
        <v>100</v>
      </c>
      <c r="B101" s="3" t="s">
        <v>428</v>
      </c>
      <c r="C101" s="2">
        <v>5</v>
      </c>
      <c r="D101" s="2">
        <v>1577</v>
      </c>
    </row>
    <row r="102" spans="1:4" ht="29" x14ac:dyDescent="0.35">
      <c r="A102" s="2">
        <v>101</v>
      </c>
      <c r="B102" s="3" t="s">
        <v>429</v>
      </c>
      <c r="C102" s="2">
        <v>5</v>
      </c>
      <c r="D102" s="2">
        <v>706</v>
      </c>
    </row>
    <row r="103" spans="1:4" x14ac:dyDescent="0.35">
      <c r="A103" s="2">
        <v>102</v>
      </c>
      <c r="B103" s="3" t="s">
        <v>430</v>
      </c>
      <c r="C103" s="2">
        <v>5</v>
      </c>
      <c r="D103" s="2">
        <v>495</v>
      </c>
    </row>
    <row r="104" spans="1:4" ht="29" x14ac:dyDescent="0.35">
      <c r="A104" s="2">
        <v>103</v>
      </c>
      <c r="B104" s="3" t="s">
        <v>431</v>
      </c>
      <c r="C104" s="2">
        <v>6</v>
      </c>
      <c r="D104" s="2">
        <v>560</v>
      </c>
    </row>
    <row r="105" spans="1:4" ht="29" x14ac:dyDescent="0.35">
      <c r="A105" s="2">
        <v>104</v>
      </c>
      <c r="B105" s="3" t="s">
        <v>432</v>
      </c>
      <c r="C105" s="2">
        <v>6</v>
      </c>
      <c r="D105" s="2">
        <v>661</v>
      </c>
    </row>
    <row r="106" spans="1:4" ht="29" x14ac:dyDescent="0.35">
      <c r="A106" s="2">
        <v>105</v>
      </c>
      <c r="B106" s="3" t="s">
        <v>433</v>
      </c>
      <c r="C106" s="2">
        <v>6</v>
      </c>
      <c r="D106" s="2">
        <v>661</v>
      </c>
    </row>
    <row r="107" spans="1:4" x14ac:dyDescent="0.35">
      <c r="A107" s="2">
        <v>106</v>
      </c>
      <c r="B107" s="3" t="s">
        <v>434</v>
      </c>
      <c r="C107" s="2">
        <v>6</v>
      </c>
      <c r="D107" s="2">
        <v>467</v>
      </c>
    </row>
    <row r="108" spans="1:4" ht="29" x14ac:dyDescent="0.35">
      <c r="A108" s="2">
        <v>107</v>
      </c>
      <c r="B108" s="3" t="s">
        <v>435</v>
      </c>
      <c r="C108" s="2">
        <v>6</v>
      </c>
      <c r="D108" s="2">
        <v>628</v>
      </c>
    </row>
    <row r="109" spans="1:4" x14ac:dyDescent="0.35">
      <c r="A109" s="2">
        <v>108</v>
      </c>
      <c r="B109" s="3" t="s">
        <v>436</v>
      </c>
      <c r="C109" s="2">
        <v>6</v>
      </c>
      <c r="D109" s="2">
        <v>483</v>
      </c>
    </row>
    <row r="110" spans="1:4" x14ac:dyDescent="0.35">
      <c r="A110" s="2">
        <v>109</v>
      </c>
      <c r="B110" s="3" t="s">
        <v>437</v>
      </c>
      <c r="C110" s="2">
        <v>6</v>
      </c>
      <c r="D110" s="2">
        <v>377</v>
      </c>
    </row>
    <row r="111" spans="1:4" x14ac:dyDescent="0.35">
      <c r="A111" s="2">
        <v>110</v>
      </c>
      <c r="B111" s="3" t="s">
        <v>438</v>
      </c>
      <c r="C111" s="2">
        <v>6</v>
      </c>
      <c r="D111" s="2">
        <v>1101</v>
      </c>
    </row>
    <row r="112" spans="1:4" x14ac:dyDescent="0.35">
      <c r="A112" s="2">
        <v>111</v>
      </c>
      <c r="B112" s="3" t="s">
        <v>439</v>
      </c>
      <c r="C112" s="2">
        <v>6</v>
      </c>
      <c r="D112" s="2">
        <v>547</v>
      </c>
    </row>
    <row r="113" spans="1:4" x14ac:dyDescent="0.35">
      <c r="A113" s="2">
        <v>112</v>
      </c>
      <c r="B113" s="3" t="s">
        <v>440</v>
      </c>
      <c r="C113" s="2">
        <v>6</v>
      </c>
      <c r="D113" s="2">
        <v>493</v>
      </c>
    </row>
    <row r="114" spans="1:4" ht="29" x14ac:dyDescent="0.35">
      <c r="A114" s="2">
        <v>113</v>
      </c>
      <c r="B114" s="3" t="s">
        <v>441</v>
      </c>
      <c r="C114" s="2">
        <v>7</v>
      </c>
      <c r="D114" s="2">
        <v>1301</v>
      </c>
    </row>
    <row r="115" spans="1:4" ht="29" x14ac:dyDescent="0.35">
      <c r="A115" s="2">
        <v>114</v>
      </c>
      <c r="B115" s="3" t="s">
        <v>442</v>
      </c>
      <c r="C115" s="2">
        <v>7</v>
      </c>
      <c r="D115" s="2">
        <v>1952</v>
      </c>
    </row>
    <row r="116" spans="1:4" ht="29" x14ac:dyDescent="0.35">
      <c r="A116" s="2">
        <v>115</v>
      </c>
      <c r="B116" s="3" t="s">
        <v>443</v>
      </c>
      <c r="C116" s="2">
        <v>7</v>
      </c>
      <c r="D116" s="2">
        <v>2882</v>
      </c>
    </row>
    <row r="117" spans="1:4" ht="29" x14ac:dyDescent="0.35">
      <c r="A117" s="2">
        <v>116</v>
      </c>
      <c r="B117" s="3" t="s">
        <v>444</v>
      </c>
      <c r="C117" s="2">
        <v>7</v>
      </c>
      <c r="D117" s="2">
        <v>1825</v>
      </c>
    </row>
    <row r="118" spans="1:4" ht="29" x14ac:dyDescent="0.35">
      <c r="A118" s="2">
        <v>117</v>
      </c>
      <c r="B118" s="3" t="s">
        <v>445</v>
      </c>
      <c r="C118" s="2">
        <v>7</v>
      </c>
      <c r="D118" s="2">
        <v>3016</v>
      </c>
    </row>
    <row r="119" spans="1:4" ht="29" x14ac:dyDescent="0.35">
      <c r="A119" s="2">
        <v>118</v>
      </c>
      <c r="B119" s="3" t="s">
        <v>446</v>
      </c>
      <c r="C119" s="2">
        <v>7</v>
      </c>
      <c r="D119" s="2">
        <v>983</v>
      </c>
    </row>
    <row r="120" spans="1:4" ht="29" x14ac:dyDescent="0.35">
      <c r="A120" s="2">
        <v>119</v>
      </c>
      <c r="B120" s="3" t="s">
        <v>447</v>
      </c>
      <c r="C120" s="2">
        <v>7</v>
      </c>
      <c r="D120" s="2">
        <v>1302</v>
      </c>
    </row>
    <row r="121" spans="1:4" ht="29" x14ac:dyDescent="0.35">
      <c r="A121" s="2">
        <v>120</v>
      </c>
      <c r="B121" s="3" t="s">
        <v>448</v>
      </c>
      <c r="C121" s="2">
        <v>8</v>
      </c>
      <c r="D121" s="2">
        <v>372</v>
      </c>
    </row>
    <row r="122" spans="1:4" ht="29" x14ac:dyDescent="0.35">
      <c r="A122" s="2">
        <v>121</v>
      </c>
      <c r="B122" s="3" t="s">
        <v>449</v>
      </c>
      <c r="C122" s="2">
        <v>8</v>
      </c>
      <c r="D122" s="2">
        <v>763</v>
      </c>
    </row>
    <row r="123" spans="1:4" ht="29" x14ac:dyDescent="0.35">
      <c r="A123" s="2">
        <v>122</v>
      </c>
      <c r="B123" s="3" t="s">
        <v>450</v>
      </c>
      <c r="C123" s="2">
        <v>8</v>
      </c>
      <c r="D123" s="2">
        <v>433</v>
      </c>
    </row>
    <row r="124" spans="1:4" ht="29" x14ac:dyDescent="0.35">
      <c r="A124" s="2">
        <v>123</v>
      </c>
      <c r="B124" s="3" t="s">
        <v>451</v>
      </c>
      <c r="C124" s="2">
        <v>8</v>
      </c>
      <c r="D124" s="2">
        <v>1043</v>
      </c>
    </row>
    <row r="125" spans="1:4" ht="29" x14ac:dyDescent="0.35">
      <c r="A125" s="2">
        <v>124</v>
      </c>
      <c r="B125" s="3" t="s">
        <v>452</v>
      </c>
      <c r="C125" s="2">
        <v>8</v>
      </c>
      <c r="D125" s="2">
        <v>522</v>
      </c>
    </row>
    <row r="126" spans="1:4" ht="29" x14ac:dyDescent="0.35">
      <c r="A126" s="2">
        <v>125</v>
      </c>
      <c r="B126" s="3" t="s">
        <v>453</v>
      </c>
      <c r="C126" s="2">
        <v>8</v>
      </c>
      <c r="D126" s="2">
        <v>930</v>
      </c>
    </row>
    <row r="127" spans="1:4" x14ac:dyDescent="0.35">
      <c r="A127" s="2">
        <v>126</v>
      </c>
      <c r="B127" s="3" t="s">
        <v>454</v>
      </c>
      <c r="C127" s="2">
        <v>9</v>
      </c>
      <c r="D127" s="2">
        <v>450</v>
      </c>
    </row>
    <row r="128" spans="1:4" ht="29" x14ac:dyDescent="0.35">
      <c r="A128" s="2">
        <v>127</v>
      </c>
      <c r="B128" s="3" t="s">
        <v>455</v>
      </c>
      <c r="C128" s="2">
        <v>9</v>
      </c>
      <c r="D128" s="2">
        <v>695</v>
      </c>
    </row>
    <row r="129" spans="1:4" ht="29" x14ac:dyDescent="0.35">
      <c r="A129" s="2">
        <v>128</v>
      </c>
      <c r="B129" s="3" t="s">
        <v>456</v>
      </c>
      <c r="C129" s="2">
        <v>9</v>
      </c>
      <c r="D129" s="2">
        <v>644</v>
      </c>
    </row>
    <row r="130" spans="1:4" ht="29" x14ac:dyDescent="0.35">
      <c r="A130" s="2">
        <v>129</v>
      </c>
      <c r="B130" s="3" t="s">
        <v>457</v>
      </c>
      <c r="C130" s="2">
        <v>9</v>
      </c>
      <c r="D130" s="2">
        <v>577</v>
      </c>
    </row>
    <row r="131" spans="1:4" ht="29" x14ac:dyDescent="0.35">
      <c r="A131" s="2">
        <v>130</v>
      </c>
      <c r="B131" s="3" t="s">
        <v>458</v>
      </c>
      <c r="C131" s="2">
        <v>9</v>
      </c>
      <c r="D131" s="2">
        <v>1181</v>
      </c>
    </row>
    <row r="132" spans="1:4" ht="29" x14ac:dyDescent="0.35">
      <c r="A132" s="2">
        <v>131</v>
      </c>
      <c r="B132" s="3" t="s">
        <v>459</v>
      </c>
      <c r="C132" s="2">
        <v>9</v>
      </c>
      <c r="D132" s="2">
        <v>840</v>
      </c>
    </row>
    <row r="133" spans="1:4" ht="29" x14ac:dyDescent="0.35">
      <c r="A133" s="2">
        <v>132</v>
      </c>
      <c r="B133" s="3" t="s">
        <v>460</v>
      </c>
      <c r="C133" s="2">
        <v>9</v>
      </c>
      <c r="D133" s="2">
        <v>1221</v>
      </c>
    </row>
    <row r="134" spans="1:4" ht="29" x14ac:dyDescent="0.35">
      <c r="A134" s="2">
        <v>133</v>
      </c>
      <c r="B134" s="3" t="s">
        <v>461</v>
      </c>
      <c r="C134" s="2">
        <v>10</v>
      </c>
      <c r="D134" s="2">
        <v>95</v>
      </c>
    </row>
    <row r="135" spans="1:4" ht="29" x14ac:dyDescent="0.35">
      <c r="A135" s="2">
        <v>134</v>
      </c>
      <c r="B135" s="3" t="s">
        <v>462</v>
      </c>
      <c r="C135" s="2">
        <v>10</v>
      </c>
      <c r="D135" s="2">
        <v>90</v>
      </c>
    </row>
    <row r="136" spans="1:4" ht="29" x14ac:dyDescent="0.35">
      <c r="A136" s="2">
        <v>135</v>
      </c>
      <c r="B136" s="3" t="s">
        <v>463</v>
      </c>
      <c r="C136" s="2">
        <v>10</v>
      </c>
      <c r="D136" s="2">
        <v>141</v>
      </c>
    </row>
    <row r="137" spans="1:4" ht="29" x14ac:dyDescent="0.35">
      <c r="A137" s="2">
        <v>136</v>
      </c>
      <c r="B137" s="3" t="s">
        <v>462</v>
      </c>
      <c r="C137" s="2">
        <v>10</v>
      </c>
      <c r="D137" s="2">
        <v>90</v>
      </c>
    </row>
    <row r="138" spans="1:4" ht="29" x14ac:dyDescent="0.35">
      <c r="A138" s="2">
        <v>137</v>
      </c>
      <c r="B138" s="3" t="s">
        <v>464</v>
      </c>
      <c r="C138" s="2">
        <v>10</v>
      </c>
      <c r="D138" s="2">
        <v>68</v>
      </c>
    </row>
    <row r="139" spans="1:4" ht="29" x14ac:dyDescent="0.35">
      <c r="A139" s="2">
        <v>138</v>
      </c>
      <c r="B139" s="3" t="s">
        <v>465</v>
      </c>
      <c r="C139" s="2">
        <v>10</v>
      </c>
      <c r="D139" s="2">
        <v>126</v>
      </c>
    </row>
    <row r="140" spans="1:4" ht="29" x14ac:dyDescent="0.35">
      <c r="A140" s="2">
        <v>139</v>
      </c>
      <c r="B140" s="3" t="s">
        <v>466</v>
      </c>
      <c r="C140" s="2">
        <v>10</v>
      </c>
      <c r="D140" s="2">
        <v>232</v>
      </c>
    </row>
    <row r="141" spans="1:4" ht="29" x14ac:dyDescent="0.35">
      <c r="A141" s="2">
        <v>140</v>
      </c>
      <c r="B141" s="3" t="s">
        <v>467</v>
      </c>
      <c r="C141" s="2">
        <v>10</v>
      </c>
      <c r="D141" s="2">
        <v>95</v>
      </c>
    </row>
    <row r="142" spans="1:4" ht="29" x14ac:dyDescent="0.35">
      <c r="A142" s="2">
        <v>141</v>
      </c>
      <c r="B142" s="3" t="s">
        <v>468</v>
      </c>
      <c r="C142" s="2">
        <v>10</v>
      </c>
      <c r="D142" s="2">
        <v>180</v>
      </c>
    </row>
    <row r="143" spans="1:4" ht="29" x14ac:dyDescent="0.35">
      <c r="A143" s="2">
        <v>142</v>
      </c>
      <c r="B143" s="3" t="s">
        <v>469</v>
      </c>
      <c r="C143" s="2">
        <v>10</v>
      </c>
      <c r="D143" s="2">
        <v>164</v>
      </c>
    </row>
    <row r="144" spans="1:4" ht="29" x14ac:dyDescent="0.35">
      <c r="A144" s="2">
        <v>143</v>
      </c>
      <c r="B144" s="3" t="s">
        <v>470</v>
      </c>
      <c r="C144" s="2">
        <v>10</v>
      </c>
      <c r="D144" s="2">
        <v>158</v>
      </c>
    </row>
    <row r="145" spans="1:4" ht="29" x14ac:dyDescent="0.35">
      <c r="A145" s="2">
        <v>144</v>
      </c>
      <c r="B145" s="3" t="s">
        <v>471</v>
      </c>
      <c r="C145" s="2">
        <v>10</v>
      </c>
      <c r="D145" s="2">
        <v>81</v>
      </c>
    </row>
    <row r="146" spans="1:4" ht="29" x14ac:dyDescent="0.35">
      <c r="A146" s="2">
        <v>145</v>
      </c>
      <c r="B146" s="3" t="s">
        <v>472</v>
      </c>
      <c r="C146" s="2">
        <v>10</v>
      </c>
      <c r="D146" s="2">
        <v>66</v>
      </c>
    </row>
    <row r="147" spans="1:4" ht="29" x14ac:dyDescent="0.35">
      <c r="A147" s="2">
        <v>146</v>
      </c>
      <c r="B147" s="3" t="s">
        <v>473</v>
      </c>
      <c r="C147" s="2">
        <v>10</v>
      </c>
      <c r="D147" s="2">
        <v>433</v>
      </c>
    </row>
    <row r="148" spans="1:4" x14ac:dyDescent="0.35">
      <c r="A148" s="2">
        <v>147</v>
      </c>
      <c r="B148" s="3" t="s">
        <v>474</v>
      </c>
      <c r="C148" s="2">
        <v>11</v>
      </c>
      <c r="D148" s="2">
        <v>576</v>
      </c>
    </row>
    <row r="149" spans="1:4" x14ac:dyDescent="0.35">
      <c r="A149" s="2">
        <v>148</v>
      </c>
      <c r="B149" s="3" t="s">
        <v>475</v>
      </c>
      <c r="C149" s="2">
        <v>11</v>
      </c>
      <c r="D149" s="2">
        <v>444</v>
      </c>
    </row>
    <row r="150" spans="1:4" x14ac:dyDescent="0.35">
      <c r="A150" s="2">
        <v>149</v>
      </c>
      <c r="B150" s="3" t="s">
        <v>476</v>
      </c>
      <c r="C150" s="2">
        <v>11</v>
      </c>
      <c r="D150" s="2">
        <v>717</v>
      </c>
    </row>
    <row r="151" spans="1:4" x14ac:dyDescent="0.35">
      <c r="A151" s="2">
        <v>150</v>
      </c>
      <c r="B151" s="3" t="s">
        <v>477</v>
      </c>
      <c r="C151" s="2">
        <v>11</v>
      </c>
      <c r="D151" s="2">
        <v>534</v>
      </c>
    </row>
    <row r="152" spans="1:4" x14ac:dyDescent="0.35">
      <c r="A152" s="2">
        <v>151</v>
      </c>
      <c r="B152" s="3" t="s">
        <v>478</v>
      </c>
      <c r="C152" s="2">
        <v>11</v>
      </c>
      <c r="D152" s="2">
        <v>526</v>
      </c>
    </row>
    <row r="153" spans="1:4" x14ac:dyDescent="0.35">
      <c r="A153" s="2">
        <v>152</v>
      </c>
      <c r="B153" s="3" t="s">
        <v>479</v>
      </c>
      <c r="C153" s="2">
        <v>11</v>
      </c>
      <c r="D153" s="2">
        <v>517</v>
      </c>
    </row>
    <row r="154" spans="1:4" x14ac:dyDescent="0.35">
      <c r="A154" s="2">
        <v>153</v>
      </c>
      <c r="B154" s="3" t="s">
        <v>480</v>
      </c>
      <c r="C154" s="2">
        <v>11</v>
      </c>
      <c r="D154" s="2">
        <v>856</v>
      </c>
    </row>
    <row r="155" spans="1:4" x14ac:dyDescent="0.35">
      <c r="A155" s="2">
        <v>154</v>
      </c>
      <c r="B155" s="3" t="s">
        <v>481</v>
      </c>
      <c r="C155" s="2">
        <v>11</v>
      </c>
      <c r="D155" s="2">
        <v>1079</v>
      </c>
    </row>
    <row r="156" spans="1:4" x14ac:dyDescent="0.35">
      <c r="A156" s="2">
        <v>155</v>
      </c>
      <c r="B156" s="3" t="s">
        <v>482</v>
      </c>
      <c r="C156" s="2">
        <v>11</v>
      </c>
      <c r="D156" s="2">
        <v>852</v>
      </c>
    </row>
    <row r="157" spans="1:4" x14ac:dyDescent="0.35">
      <c r="A157" s="2">
        <v>156</v>
      </c>
      <c r="B157" s="3" t="s">
        <v>483</v>
      </c>
      <c r="C157" s="2">
        <v>11</v>
      </c>
      <c r="D157" s="2">
        <v>726</v>
      </c>
    </row>
    <row r="158" spans="1:4" x14ac:dyDescent="0.35">
      <c r="A158" s="2">
        <v>157</v>
      </c>
      <c r="B158" s="3" t="s">
        <v>484</v>
      </c>
      <c r="C158" s="2">
        <v>11</v>
      </c>
      <c r="D158" s="2">
        <v>1297</v>
      </c>
    </row>
    <row r="159" spans="1:4" x14ac:dyDescent="0.35">
      <c r="A159" s="2">
        <v>158</v>
      </c>
      <c r="B159" s="3" t="s">
        <v>485</v>
      </c>
      <c r="C159" s="2">
        <v>11</v>
      </c>
      <c r="D159" s="2">
        <v>2595</v>
      </c>
    </row>
    <row r="160" spans="1:4" x14ac:dyDescent="0.35">
      <c r="A160" s="2">
        <v>159</v>
      </c>
      <c r="B160" s="3" t="s">
        <v>486</v>
      </c>
      <c r="C160" s="2">
        <v>11</v>
      </c>
      <c r="D160" s="2">
        <v>1104</v>
      </c>
    </row>
    <row r="161" spans="1:4" x14ac:dyDescent="0.35">
      <c r="A161" s="2">
        <v>160</v>
      </c>
      <c r="B161" s="3" t="s">
        <v>487</v>
      </c>
      <c r="C161" s="2">
        <v>11</v>
      </c>
      <c r="D161" s="2">
        <v>1420</v>
      </c>
    </row>
    <row r="162" spans="1:4" x14ac:dyDescent="0.35">
      <c r="A162" s="2">
        <v>161</v>
      </c>
      <c r="B162" s="3" t="s">
        <v>488</v>
      </c>
      <c r="C162" s="2">
        <v>11</v>
      </c>
      <c r="D162" s="2">
        <v>5759</v>
      </c>
    </row>
    <row r="163" spans="1:4" x14ac:dyDescent="0.35">
      <c r="A163" s="2">
        <v>162</v>
      </c>
      <c r="B163" s="3" t="s">
        <v>489</v>
      </c>
      <c r="C163" s="2">
        <v>11</v>
      </c>
      <c r="D163" s="2">
        <v>3992</v>
      </c>
    </row>
    <row r="164" spans="1:4" x14ac:dyDescent="0.35">
      <c r="A164" s="2">
        <v>163</v>
      </c>
      <c r="B164" s="3" t="s">
        <v>490</v>
      </c>
      <c r="C164" s="2">
        <v>11</v>
      </c>
      <c r="D164" s="2">
        <v>2533</v>
      </c>
    </row>
    <row r="165" spans="1:4" x14ac:dyDescent="0.35">
      <c r="A165" s="2">
        <v>164</v>
      </c>
      <c r="B165" s="3" t="s">
        <v>491</v>
      </c>
      <c r="C165" s="2">
        <v>11</v>
      </c>
      <c r="D165" s="2">
        <v>763</v>
      </c>
    </row>
    <row r="166" spans="1:4" ht="29" x14ac:dyDescent="0.35">
      <c r="A166" s="2">
        <v>165</v>
      </c>
      <c r="B166" s="3" t="s">
        <v>492</v>
      </c>
      <c r="C166" s="2">
        <v>12</v>
      </c>
      <c r="D166" s="2">
        <v>202</v>
      </c>
    </row>
    <row r="167" spans="1:4" ht="29" x14ac:dyDescent="0.35">
      <c r="A167" s="2">
        <v>166</v>
      </c>
      <c r="B167" s="3" t="s">
        <v>493</v>
      </c>
      <c r="C167" s="2">
        <v>12</v>
      </c>
      <c r="D167" s="2">
        <v>332</v>
      </c>
    </row>
    <row r="168" spans="1:4" ht="29" x14ac:dyDescent="0.35">
      <c r="A168" s="2">
        <v>167</v>
      </c>
      <c r="B168" s="3" t="s">
        <v>494</v>
      </c>
      <c r="C168" s="2">
        <v>12</v>
      </c>
      <c r="D168" s="2">
        <v>278</v>
      </c>
    </row>
    <row r="169" spans="1:4" ht="29" x14ac:dyDescent="0.35">
      <c r="A169" s="2">
        <v>168</v>
      </c>
      <c r="B169" s="3" t="s">
        <v>495</v>
      </c>
      <c r="C169" s="2">
        <v>12</v>
      </c>
      <c r="D169" s="2">
        <v>205</v>
      </c>
    </row>
    <row r="170" spans="1:4" x14ac:dyDescent="0.35">
      <c r="A170" s="2">
        <v>169</v>
      </c>
      <c r="B170" s="3" t="s">
        <v>496</v>
      </c>
      <c r="C170" s="2">
        <v>12</v>
      </c>
      <c r="D170" s="2">
        <v>204</v>
      </c>
    </row>
    <row r="171" spans="1:4" ht="29" x14ac:dyDescent="0.35">
      <c r="A171" s="2">
        <v>170</v>
      </c>
      <c r="B171" s="3" t="s">
        <v>497</v>
      </c>
      <c r="C171" s="2">
        <v>12</v>
      </c>
      <c r="D171" s="2">
        <v>656</v>
      </c>
    </row>
    <row r="172" spans="1:4" x14ac:dyDescent="0.35">
      <c r="A172" s="2">
        <v>171</v>
      </c>
      <c r="B172" s="3" t="s">
        <v>498</v>
      </c>
      <c r="C172" s="2">
        <v>12</v>
      </c>
      <c r="D172" s="2">
        <v>227</v>
      </c>
    </row>
    <row r="173" spans="1:4" ht="29" x14ac:dyDescent="0.35">
      <c r="A173" s="2">
        <v>172</v>
      </c>
      <c r="B173" s="3" t="s">
        <v>499</v>
      </c>
      <c r="C173" s="2">
        <v>12</v>
      </c>
      <c r="D173" s="2">
        <v>463</v>
      </c>
    </row>
    <row r="174" spans="1:4" ht="29" x14ac:dyDescent="0.35">
      <c r="A174" s="2">
        <v>173</v>
      </c>
      <c r="B174" s="3" t="s">
        <v>500</v>
      </c>
      <c r="C174" s="2">
        <v>12</v>
      </c>
      <c r="D174" s="2">
        <v>205</v>
      </c>
    </row>
    <row r="175" spans="1:4" ht="29" x14ac:dyDescent="0.35">
      <c r="A175" s="2">
        <v>174</v>
      </c>
      <c r="B175" s="3" t="s">
        <v>501</v>
      </c>
      <c r="C175" s="2">
        <v>12</v>
      </c>
      <c r="D175" s="2">
        <v>1486</v>
      </c>
    </row>
    <row r="176" spans="1:4" ht="29" x14ac:dyDescent="0.35">
      <c r="A176" s="2">
        <v>175</v>
      </c>
      <c r="B176" s="3" t="s">
        <v>502</v>
      </c>
      <c r="C176" s="2">
        <v>12</v>
      </c>
      <c r="D176" s="2">
        <v>270</v>
      </c>
    </row>
    <row r="177" spans="1:4" ht="29" x14ac:dyDescent="0.35">
      <c r="A177" s="2">
        <v>176</v>
      </c>
      <c r="B177" s="3" t="s">
        <v>493</v>
      </c>
      <c r="C177" s="2">
        <v>12</v>
      </c>
      <c r="D177" s="2">
        <v>329</v>
      </c>
    </row>
    <row r="178" spans="1:4" ht="29" x14ac:dyDescent="0.35">
      <c r="A178" s="2">
        <v>177</v>
      </c>
      <c r="B178" s="3" t="s">
        <v>503</v>
      </c>
      <c r="C178" s="2">
        <v>12</v>
      </c>
      <c r="D178" s="2">
        <v>758</v>
      </c>
    </row>
    <row r="179" spans="1:4" ht="29" x14ac:dyDescent="0.35">
      <c r="A179" s="2">
        <v>178</v>
      </c>
      <c r="B179" s="3" t="s">
        <v>504</v>
      </c>
      <c r="C179" s="2">
        <v>13</v>
      </c>
      <c r="D179" s="2">
        <v>293</v>
      </c>
    </row>
    <row r="180" spans="1:4" ht="29" x14ac:dyDescent="0.35">
      <c r="A180" s="2">
        <v>179</v>
      </c>
      <c r="B180" s="3" t="s">
        <v>505</v>
      </c>
      <c r="C180" s="2">
        <v>13</v>
      </c>
      <c r="D180" s="2">
        <v>425</v>
      </c>
    </row>
    <row r="181" spans="1:4" x14ac:dyDescent="0.35">
      <c r="A181" s="2">
        <v>180</v>
      </c>
      <c r="B181" s="3" t="s">
        <v>506</v>
      </c>
      <c r="C181" s="2">
        <v>13</v>
      </c>
      <c r="D181" s="2">
        <v>261</v>
      </c>
    </row>
    <row r="182" spans="1:4" ht="29" x14ac:dyDescent="0.35">
      <c r="A182" s="2">
        <v>181</v>
      </c>
      <c r="B182" s="3" t="s">
        <v>507</v>
      </c>
      <c r="C182" s="2">
        <v>13</v>
      </c>
      <c r="D182" s="2">
        <v>482</v>
      </c>
    </row>
    <row r="183" spans="1:4" x14ac:dyDescent="0.35">
      <c r="A183" s="2">
        <v>182</v>
      </c>
      <c r="B183" s="3" t="s">
        <v>508</v>
      </c>
      <c r="C183" s="2">
        <v>13</v>
      </c>
      <c r="D183" s="2">
        <v>598</v>
      </c>
    </row>
    <row r="184" spans="1:4" ht="29" x14ac:dyDescent="0.35">
      <c r="A184" s="2">
        <v>183</v>
      </c>
      <c r="B184" s="3" t="s">
        <v>509</v>
      </c>
      <c r="C184" s="2">
        <v>13</v>
      </c>
      <c r="D184" s="2">
        <v>370</v>
      </c>
    </row>
    <row r="185" spans="1:4" ht="29" x14ac:dyDescent="0.35">
      <c r="A185" s="2">
        <v>184</v>
      </c>
      <c r="B185" s="3" t="s">
        <v>510</v>
      </c>
      <c r="C185" s="2">
        <v>14</v>
      </c>
      <c r="D185" s="2">
        <v>369</v>
      </c>
    </row>
    <row r="186" spans="1:4" ht="29" x14ac:dyDescent="0.35">
      <c r="A186" s="2">
        <v>185</v>
      </c>
      <c r="B186" s="3" t="s">
        <v>511</v>
      </c>
      <c r="C186" s="2">
        <v>14</v>
      </c>
      <c r="D186" s="2">
        <v>505</v>
      </c>
    </row>
    <row r="187" spans="1:4" ht="29" x14ac:dyDescent="0.35">
      <c r="A187" s="2">
        <v>186</v>
      </c>
      <c r="B187" s="3" t="s">
        <v>512</v>
      </c>
      <c r="C187" s="2">
        <v>14</v>
      </c>
      <c r="D187" s="2">
        <v>548</v>
      </c>
    </row>
    <row r="188" spans="1:4" ht="29" x14ac:dyDescent="0.35">
      <c r="A188" s="2">
        <v>187</v>
      </c>
      <c r="B188" s="3" t="s">
        <v>513</v>
      </c>
      <c r="C188" s="2">
        <v>14</v>
      </c>
      <c r="D188" s="2">
        <v>413</v>
      </c>
    </row>
    <row r="189" spans="1:4" ht="29" x14ac:dyDescent="0.35">
      <c r="A189" s="2">
        <v>188</v>
      </c>
      <c r="B189" s="3" t="s">
        <v>514</v>
      </c>
      <c r="C189" s="2">
        <v>14</v>
      </c>
      <c r="D189" s="2">
        <v>650</v>
      </c>
    </row>
    <row r="190" spans="1:4" ht="29" x14ac:dyDescent="0.35">
      <c r="A190" s="2">
        <v>189</v>
      </c>
      <c r="B190" s="3" t="s">
        <v>515</v>
      </c>
      <c r="C190" s="2">
        <v>15</v>
      </c>
      <c r="D190" s="2">
        <v>9</v>
      </c>
    </row>
    <row r="191" spans="1:4" ht="29" x14ac:dyDescent="0.35">
      <c r="A191" s="2">
        <v>190</v>
      </c>
      <c r="B191" s="3" t="s">
        <v>516</v>
      </c>
      <c r="C191" s="2">
        <v>15</v>
      </c>
      <c r="D191" s="2">
        <v>4</v>
      </c>
    </row>
    <row r="192" spans="1:4" ht="29" x14ac:dyDescent="0.35">
      <c r="A192" s="2">
        <v>191</v>
      </c>
      <c r="B192" s="3" t="s">
        <v>517</v>
      </c>
      <c r="C192" s="2">
        <v>15</v>
      </c>
      <c r="D192" s="2">
        <v>11</v>
      </c>
    </row>
    <row r="193" spans="1:4" ht="43.5" x14ac:dyDescent="0.35">
      <c r="A193" s="2">
        <v>192</v>
      </c>
      <c r="B193" s="3" t="s">
        <v>518</v>
      </c>
      <c r="C193" s="2">
        <v>15</v>
      </c>
      <c r="D193" s="2">
        <v>10</v>
      </c>
    </row>
    <row r="194" spans="1:4" ht="29" x14ac:dyDescent="0.35">
      <c r="A194" s="2">
        <v>193</v>
      </c>
      <c r="B194" s="3" t="s">
        <v>519</v>
      </c>
      <c r="C194" s="2">
        <v>15</v>
      </c>
      <c r="D194" s="2">
        <v>5</v>
      </c>
    </row>
    <row r="195" spans="1:4" ht="29" x14ac:dyDescent="0.35">
      <c r="A195" s="2">
        <v>194</v>
      </c>
      <c r="B195" s="3" t="s">
        <v>520</v>
      </c>
      <c r="C195" s="2">
        <v>15</v>
      </c>
      <c r="D195" s="2">
        <v>13</v>
      </c>
    </row>
    <row r="196" spans="1:4" ht="29" x14ac:dyDescent="0.35">
      <c r="A196" s="2">
        <v>195</v>
      </c>
      <c r="B196" s="3" t="s">
        <v>521</v>
      </c>
      <c r="C196" s="2">
        <v>15</v>
      </c>
      <c r="D196" s="2">
        <v>6</v>
      </c>
    </row>
    <row r="197" spans="1:4" x14ac:dyDescent="0.35">
      <c r="A197" s="2">
        <v>196</v>
      </c>
      <c r="B197" s="3" t="s">
        <v>522</v>
      </c>
      <c r="C197" s="2">
        <v>15</v>
      </c>
      <c r="D197" s="2">
        <v>5</v>
      </c>
    </row>
    <row r="198" spans="1:4" x14ac:dyDescent="0.35">
      <c r="A198" s="2">
        <v>197</v>
      </c>
      <c r="B198" s="3" t="s">
        <v>523</v>
      </c>
      <c r="C198" s="2">
        <v>15</v>
      </c>
      <c r="D198" s="2">
        <v>3</v>
      </c>
    </row>
    <row r="199" spans="1:4" x14ac:dyDescent="0.35">
      <c r="A199" s="2">
        <v>198</v>
      </c>
      <c r="B199" s="3" t="s">
        <v>524</v>
      </c>
      <c r="C199" s="2">
        <v>15</v>
      </c>
      <c r="D199" s="2">
        <v>3</v>
      </c>
    </row>
    <row r="200" spans="1:4" ht="29" x14ac:dyDescent="0.35">
      <c r="A200" s="2">
        <v>199</v>
      </c>
      <c r="B200" s="3" t="s">
        <v>525</v>
      </c>
      <c r="C200" s="2">
        <v>15</v>
      </c>
      <c r="D200" s="2">
        <v>3</v>
      </c>
    </row>
    <row r="201" spans="1:4" ht="43.5" x14ac:dyDescent="0.35">
      <c r="A201" s="2">
        <v>200</v>
      </c>
      <c r="B201" s="3" t="s">
        <v>526</v>
      </c>
      <c r="C201" s="2">
        <v>15</v>
      </c>
      <c r="D201" s="2">
        <v>4</v>
      </c>
    </row>
    <row r="202" spans="1:4" ht="29" x14ac:dyDescent="0.35">
      <c r="A202" s="2">
        <v>201</v>
      </c>
      <c r="B202" s="3" t="s">
        <v>527</v>
      </c>
      <c r="C202" s="2">
        <v>15</v>
      </c>
      <c r="D202" s="2">
        <v>4</v>
      </c>
    </row>
    <row r="203" spans="1:4" ht="43.5" x14ac:dyDescent="0.35">
      <c r="A203" s="2">
        <v>202</v>
      </c>
      <c r="B203" s="3" t="s">
        <v>528</v>
      </c>
      <c r="C203" s="2">
        <v>15</v>
      </c>
      <c r="D203" s="2">
        <v>4</v>
      </c>
    </row>
    <row r="204" spans="1:4" ht="43.5" x14ac:dyDescent="0.35">
      <c r="A204" s="2">
        <v>203</v>
      </c>
      <c r="B204" s="3" t="s">
        <v>529</v>
      </c>
      <c r="C204" s="2">
        <v>16</v>
      </c>
      <c r="D204" s="2">
        <v>5</v>
      </c>
    </row>
    <row r="205" spans="1:4" ht="29" x14ac:dyDescent="0.35">
      <c r="A205" s="2">
        <v>204</v>
      </c>
      <c r="B205" s="3" t="s">
        <v>530</v>
      </c>
      <c r="C205" s="2">
        <v>16</v>
      </c>
      <c r="D205" s="2">
        <v>9</v>
      </c>
    </row>
    <row r="206" spans="1:4" ht="29" x14ac:dyDescent="0.35">
      <c r="A206" s="2">
        <v>205</v>
      </c>
      <c r="B206" s="3" t="s">
        <v>531</v>
      </c>
      <c r="C206" s="2">
        <v>16</v>
      </c>
      <c r="D206" s="2">
        <v>9</v>
      </c>
    </row>
    <row r="207" spans="1:4" ht="29" x14ac:dyDescent="0.35">
      <c r="A207" s="2">
        <v>206</v>
      </c>
      <c r="B207" s="3" t="s">
        <v>532</v>
      </c>
      <c r="C207" s="2">
        <v>16</v>
      </c>
      <c r="D207" s="2">
        <v>6</v>
      </c>
    </row>
    <row r="208" spans="1:4" ht="29" x14ac:dyDescent="0.35">
      <c r="A208" s="2">
        <v>207</v>
      </c>
      <c r="B208" s="3" t="s">
        <v>533</v>
      </c>
      <c r="C208" s="2">
        <v>16</v>
      </c>
      <c r="D208" s="2">
        <v>4</v>
      </c>
    </row>
    <row r="209" spans="1:4" ht="29" x14ac:dyDescent="0.35">
      <c r="A209" s="2">
        <v>208</v>
      </c>
      <c r="B209" s="3" t="s">
        <v>534</v>
      </c>
      <c r="C209" s="2">
        <v>16</v>
      </c>
      <c r="D209" s="2">
        <v>4</v>
      </c>
    </row>
    <row r="210" spans="1:4" ht="29" x14ac:dyDescent="0.35">
      <c r="A210" s="2">
        <v>209</v>
      </c>
      <c r="B210" s="3" t="s">
        <v>535</v>
      </c>
      <c r="C210" s="2">
        <v>16</v>
      </c>
      <c r="D210" s="2">
        <v>11</v>
      </c>
    </row>
    <row r="211" spans="1:4" ht="29" x14ac:dyDescent="0.35">
      <c r="A211" s="2">
        <v>210</v>
      </c>
      <c r="B211" s="3" t="s">
        <v>536</v>
      </c>
      <c r="C211" s="2">
        <v>16</v>
      </c>
      <c r="D211" s="2">
        <v>6</v>
      </c>
    </row>
    <row r="212" spans="1:4" ht="29" x14ac:dyDescent="0.35">
      <c r="A212" s="2">
        <v>211</v>
      </c>
      <c r="B212" s="3" t="s">
        <v>537</v>
      </c>
      <c r="C212" s="2">
        <v>16</v>
      </c>
      <c r="D212" s="2">
        <v>4</v>
      </c>
    </row>
    <row r="213" spans="1:4" ht="29" x14ac:dyDescent="0.35">
      <c r="A213" s="2">
        <v>212</v>
      </c>
      <c r="B213" s="3" t="s">
        <v>538</v>
      </c>
      <c r="C213" s="2">
        <v>16</v>
      </c>
      <c r="D213" s="2">
        <v>32</v>
      </c>
    </row>
    <row r="214" spans="1:4" ht="29" x14ac:dyDescent="0.35">
      <c r="A214" s="2">
        <v>213</v>
      </c>
      <c r="B214" s="3" t="s">
        <v>539</v>
      </c>
      <c r="C214" s="2">
        <v>16</v>
      </c>
      <c r="D214" s="2">
        <v>2</v>
      </c>
    </row>
    <row r="215" spans="1:4" ht="29" x14ac:dyDescent="0.35">
      <c r="A215" s="2">
        <v>214</v>
      </c>
      <c r="B215" s="3" t="s">
        <v>540</v>
      </c>
      <c r="C215" s="2">
        <v>17</v>
      </c>
      <c r="D215" s="2">
        <v>7</v>
      </c>
    </row>
    <row r="216" spans="1:4" ht="29" x14ac:dyDescent="0.35">
      <c r="A216" s="2">
        <v>215</v>
      </c>
      <c r="B216" s="3" t="s">
        <v>541</v>
      </c>
      <c r="C216" s="2">
        <v>17</v>
      </c>
      <c r="D216" s="2">
        <v>6</v>
      </c>
    </row>
    <row r="217" spans="1:4" ht="29" x14ac:dyDescent="0.35">
      <c r="A217" s="2">
        <v>216</v>
      </c>
      <c r="B217" s="3" t="s">
        <v>542</v>
      </c>
      <c r="C217" s="2">
        <v>17</v>
      </c>
      <c r="D217" s="2">
        <v>4</v>
      </c>
    </row>
    <row r="218" spans="1:4" ht="29" x14ac:dyDescent="0.35">
      <c r="A218" s="2">
        <v>217</v>
      </c>
      <c r="B218" s="3" t="s">
        <v>543</v>
      </c>
      <c r="C218" s="2">
        <v>17</v>
      </c>
      <c r="D218" s="2">
        <v>4</v>
      </c>
    </row>
    <row r="219" spans="1:4" ht="43.5" x14ac:dyDescent="0.35">
      <c r="A219" s="2">
        <v>218</v>
      </c>
      <c r="B219" s="3" t="s">
        <v>544</v>
      </c>
      <c r="C219" s="2">
        <v>17</v>
      </c>
      <c r="D219" s="2">
        <v>5</v>
      </c>
    </row>
    <row r="220" spans="1:4" ht="43.5" x14ac:dyDescent="0.35">
      <c r="A220" s="2">
        <v>219</v>
      </c>
      <c r="B220" s="3" t="s">
        <v>545</v>
      </c>
      <c r="C220" s="2">
        <v>17</v>
      </c>
      <c r="D220" s="2">
        <v>5</v>
      </c>
    </row>
    <row r="221" spans="1:4" ht="29" x14ac:dyDescent="0.35">
      <c r="A221" s="2">
        <v>220</v>
      </c>
      <c r="B221" s="3" t="s">
        <v>546</v>
      </c>
      <c r="C221" s="2">
        <v>17</v>
      </c>
      <c r="D221" s="2">
        <v>5</v>
      </c>
    </row>
    <row r="222" spans="1:4" ht="43.5" x14ac:dyDescent="0.35">
      <c r="A222" s="2">
        <v>221</v>
      </c>
      <c r="B222" s="3" t="s">
        <v>547</v>
      </c>
      <c r="C222" s="2">
        <v>17</v>
      </c>
      <c r="D222" s="2">
        <v>4</v>
      </c>
    </row>
    <row r="223" spans="1:4" ht="29" x14ac:dyDescent="0.35">
      <c r="A223" s="2">
        <v>222</v>
      </c>
      <c r="B223" s="3" t="s">
        <v>548</v>
      </c>
      <c r="C223" s="2">
        <v>17</v>
      </c>
      <c r="D223" s="2">
        <v>4</v>
      </c>
    </row>
    <row r="224" spans="1:4" ht="29" x14ac:dyDescent="0.35">
      <c r="A224" s="2">
        <v>223</v>
      </c>
      <c r="B224" s="3" t="s">
        <v>549</v>
      </c>
      <c r="C224" s="2">
        <v>17</v>
      </c>
      <c r="D224" s="2">
        <v>4</v>
      </c>
    </row>
    <row r="225" spans="1:4" ht="29" x14ac:dyDescent="0.35">
      <c r="A225" s="2">
        <v>224</v>
      </c>
      <c r="B225" s="3" t="s">
        <v>550</v>
      </c>
      <c r="C225" s="2">
        <v>17</v>
      </c>
      <c r="D225" s="2">
        <v>5</v>
      </c>
    </row>
    <row r="226" spans="1:4" ht="29" x14ac:dyDescent="0.35">
      <c r="A226" s="2">
        <v>225</v>
      </c>
      <c r="B226" s="3" t="s">
        <v>551</v>
      </c>
      <c r="C226" s="2">
        <v>17</v>
      </c>
      <c r="D226" s="2">
        <v>3</v>
      </c>
    </row>
    <row r="227" spans="1:4" ht="43.5" x14ac:dyDescent="0.35">
      <c r="A227" s="2">
        <v>226</v>
      </c>
      <c r="B227" s="3" t="s">
        <v>552</v>
      </c>
      <c r="C227" s="2">
        <v>18</v>
      </c>
      <c r="D227" s="2">
        <v>4</v>
      </c>
    </row>
    <row r="228" spans="1:4" ht="29" x14ac:dyDescent="0.35">
      <c r="A228" s="2">
        <v>227</v>
      </c>
      <c r="B228" s="3" t="s">
        <v>553</v>
      </c>
      <c r="C228" s="2">
        <v>18</v>
      </c>
      <c r="D228" s="2">
        <v>4</v>
      </c>
    </row>
    <row r="229" spans="1:4" ht="29" x14ac:dyDescent="0.35">
      <c r="A229" s="2">
        <v>228</v>
      </c>
      <c r="B229" s="3" t="s">
        <v>554</v>
      </c>
      <c r="C229" s="2">
        <v>18</v>
      </c>
      <c r="D229" s="2">
        <v>3</v>
      </c>
    </row>
    <row r="230" spans="1:4" ht="29" x14ac:dyDescent="0.35">
      <c r="A230" s="2">
        <v>229</v>
      </c>
      <c r="B230" s="3" t="s">
        <v>555</v>
      </c>
      <c r="C230" s="2">
        <v>18</v>
      </c>
      <c r="D230" s="2">
        <v>4</v>
      </c>
    </row>
    <row r="231" spans="1:4" ht="43.5" x14ac:dyDescent="0.35">
      <c r="A231" s="2">
        <v>230</v>
      </c>
      <c r="B231" s="3" t="s">
        <v>556</v>
      </c>
      <c r="C231" s="2">
        <v>18</v>
      </c>
      <c r="D231" s="2">
        <v>6</v>
      </c>
    </row>
    <row r="232" spans="1:4" ht="29" x14ac:dyDescent="0.35">
      <c r="A232" s="2">
        <v>231</v>
      </c>
      <c r="B232" s="3" t="s">
        <v>557</v>
      </c>
      <c r="C232" s="2">
        <v>18</v>
      </c>
      <c r="D232" s="2">
        <v>5</v>
      </c>
    </row>
    <row r="233" spans="1:4" ht="43.5" x14ac:dyDescent="0.35">
      <c r="A233" s="2">
        <v>232</v>
      </c>
      <c r="B233" s="3" t="s">
        <v>558</v>
      </c>
      <c r="C233" s="2">
        <v>18</v>
      </c>
      <c r="D233" s="2">
        <v>4</v>
      </c>
    </row>
    <row r="234" spans="1:4" ht="29" x14ac:dyDescent="0.35">
      <c r="A234" s="2">
        <v>233</v>
      </c>
      <c r="B234" s="3" t="s">
        <v>559</v>
      </c>
      <c r="C234" s="2">
        <v>18</v>
      </c>
      <c r="D234" s="2">
        <v>3</v>
      </c>
    </row>
    <row r="235" spans="1:4" ht="43.5" x14ac:dyDescent="0.35">
      <c r="A235" s="2">
        <v>234</v>
      </c>
      <c r="B235" s="3" t="s">
        <v>560</v>
      </c>
      <c r="C235" s="2">
        <v>19</v>
      </c>
      <c r="D235" s="2">
        <v>27</v>
      </c>
    </row>
    <row r="236" spans="1:4" ht="43.5" x14ac:dyDescent="0.35">
      <c r="A236" s="2">
        <v>235</v>
      </c>
      <c r="B236" s="3" t="s">
        <v>561</v>
      </c>
      <c r="C236" s="2">
        <v>19</v>
      </c>
      <c r="D236" s="2">
        <v>27</v>
      </c>
    </row>
    <row r="237" spans="1:4" ht="43.5" x14ac:dyDescent="0.35">
      <c r="A237" s="2">
        <v>236</v>
      </c>
      <c r="B237" s="3" t="s">
        <v>562</v>
      </c>
      <c r="C237" s="2">
        <v>19</v>
      </c>
      <c r="D237" s="2">
        <v>28</v>
      </c>
    </row>
    <row r="238" spans="1:4" ht="29" x14ac:dyDescent="0.35">
      <c r="A238" s="2">
        <v>237</v>
      </c>
      <c r="B238" s="3" t="s">
        <v>563</v>
      </c>
      <c r="C238" s="2">
        <v>19</v>
      </c>
      <c r="D238" s="2">
        <v>18</v>
      </c>
    </row>
    <row r="239" spans="1:4" ht="29" x14ac:dyDescent="0.35">
      <c r="A239" s="2">
        <v>238</v>
      </c>
      <c r="B239" s="3" t="s">
        <v>564</v>
      </c>
      <c r="C239" s="2">
        <v>19</v>
      </c>
      <c r="D239" s="2">
        <v>24</v>
      </c>
    </row>
    <row r="240" spans="1:4" x14ac:dyDescent="0.35">
      <c r="A240" s="2">
        <v>239</v>
      </c>
      <c r="B240" s="3" t="s">
        <v>565</v>
      </c>
      <c r="C240" s="2">
        <v>19</v>
      </c>
      <c r="D240" s="2">
        <v>20</v>
      </c>
    </row>
    <row r="241" spans="1:4" ht="29" x14ac:dyDescent="0.35">
      <c r="A241" s="2">
        <v>240</v>
      </c>
      <c r="B241" s="3" t="s">
        <v>566</v>
      </c>
      <c r="C241" s="2">
        <v>19</v>
      </c>
      <c r="D241" s="2">
        <v>26</v>
      </c>
    </row>
    <row r="242" spans="1:4" ht="29" x14ac:dyDescent="0.35">
      <c r="A242" s="2">
        <v>241</v>
      </c>
      <c r="B242" s="3" t="s">
        <v>567</v>
      </c>
      <c r="C242" s="2">
        <v>19</v>
      </c>
      <c r="D242" s="2">
        <v>61</v>
      </c>
    </row>
    <row r="243" spans="1:4" x14ac:dyDescent="0.35">
      <c r="A243" s="2">
        <v>242</v>
      </c>
      <c r="B243" s="3" t="s">
        <v>568</v>
      </c>
      <c r="C243" s="2">
        <v>20</v>
      </c>
      <c r="D243" s="2">
        <v>20</v>
      </c>
    </row>
    <row r="244" spans="1:4" x14ac:dyDescent="0.35">
      <c r="A244" s="2">
        <v>243</v>
      </c>
      <c r="B244" s="3" t="s">
        <v>569</v>
      </c>
      <c r="C244" s="2">
        <v>20</v>
      </c>
      <c r="D244" s="2">
        <v>4</v>
      </c>
    </row>
    <row r="245" spans="1:4" ht="29" x14ac:dyDescent="0.35">
      <c r="A245" s="2">
        <v>244</v>
      </c>
      <c r="B245" s="3" t="s">
        <v>570</v>
      </c>
      <c r="C245" s="2">
        <v>20</v>
      </c>
      <c r="D245" s="2">
        <v>3</v>
      </c>
    </row>
    <row r="246" spans="1:4" ht="43.5" x14ac:dyDescent="0.35">
      <c r="A246" s="2">
        <v>245</v>
      </c>
      <c r="B246" s="3" t="s">
        <v>571</v>
      </c>
      <c r="C246" s="2">
        <v>20</v>
      </c>
      <c r="D246" s="2">
        <v>2</v>
      </c>
    </row>
    <row r="247" spans="1:4" ht="29" x14ac:dyDescent="0.35">
      <c r="A247" s="2">
        <v>246</v>
      </c>
      <c r="B247" s="3" t="s">
        <v>572</v>
      </c>
      <c r="C247" s="2">
        <v>20</v>
      </c>
      <c r="D247" s="2">
        <v>3</v>
      </c>
    </row>
    <row r="248" spans="1:4" ht="29" x14ac:dyDescent="0.35">
      <c r="A248" s="2">
        <v>247</v>
      </c>
      <c r="B248" s="3" t="s">
        <v>573</v>
      </c>
      <c r="C248" s="2">
        <v>20</v>
      </c>
      <c r="D248" s="2">
        <v>2</v>
      </c>
    </row>
    <row r="249" spans="1:4" ht="29" x14ac:dyDescent="0.35">
      <c r="A249" s="2">
        <v>248</v>
      </c>
      <c r="B249" s="3" t="s">
        <v>574</v>
      </c>
      <c r="C249" s="2">
        <v>20</v>
      </c>
      <c r="D249" s="2">
        <v>4</v>
      </c>
    </row>
    <row r="250" spans="1:4" ht="29" x14ac:dyDescent="0.35">
      <c r="A250" s="2">
        <v>249</v>
      </c>
      <c r="B250" s="3" t="s">
        <v>575</v>
      </c>
      <c r="C250" s="2">
        <v>20</v>
      </c>
      <c r="D250" s="2">
        <v>4</v>
      </c>
    </row>
    <row r="251" spans="1:4" ht="29" x14ac:dyDescent="0.35">
      <c r="A251" s="2">
        <v>250</v>
      </c>
      <c r="B251" s="3" t="s">
        <v>576</v>
      </c>
      <c r="C251" s="2">
        <v>20</v>
      </c>
      <c r="D251" s="2">
        <v>35</v>
      </c>
    </row>
    <row r="252" spans="1:4" x14ac:dyDescent="0.35">
      <c r="A252" s="2">
        <v>251</v>
      </c>
      <c r="B252" s="3" t="s">
        <v>577</v>
      </c>
      <c r="C252" s="2">
        <v>20</v>
      </c>
      <c r="D252" s="2">
        <v>25</v>
      </c>
    </row>
    <row r="253" spans="1:4" ht="29" x14ac:dyDescent="0.35">
      <c r="A253" s="2">
        <v>252</v>
      </c>
      <c r="B253" s="3" t="s">
        <v>578</v>
      </c>
      <c r="C253" s="2">
        <v>20</v>
      </c>
      <c r="D253" s="2">
        <v>27</v>
      </c>
    </row>
    <row r="254" spans="1:4" ht="29" x14ac:dyDescent="0.35">
      <c r="A254" s="2">
        <v>253</v>
      </c>
      <c r="B254" s="3" t="s">
        <v>579</v>
      </c>
      <c r="C254" s="2">
        <v>21</v>
      </c>
      <c r="D254" s="2">
        <v>3</v>
      </c>
    </row>
    <row r="255" spans="1:4" x14ac:dyDescent="0.35">
      <c r="A255" s="2">
        <v>254</v>
      </c>
      <c r="B255" s="3" t="s">
        <v>580</v>
      </c>
      <c r="C255" s="2">
        <v>21</v>
      </c>
      <c r="D255" s="2">
        <v>4</v>
      </c>
    </row>
    <row r="256" spans="1:4" ht="29" x14ac:dyDescent="0.35">
      <c r="A256" s="2">
        <v>255</v>
      </c>
      <c r="B256" s="3" t="s">
        <v>581</v>
      </c>
      <c r="C256" s="2">
        <v>21</v>
      </c>
      <c r="D256" s="2">
        <v>2</v>
      </c>
    </row>
    <row r="257" spans="1:4" ht="29" x14ac:dyDescent="0.35">
      <c r="A257" s="2">
        <v>256</v>
      </c>
      <c r="B257" s="3" t="s">
        <v>582</v>
      </c>
      <c r="C257" s="2">
        <v>21</v>
      </c>
      <c r="D257" s="2">
        <v>5</v>
      </c>
    </row>
    <row r="258" spans="1:4" ht="29" x14ac:dyDescent="0.35">
      <c r="A258" s="2">
        <v>257</v>
      </c>
      <c r="B258" s="3" t="s">
        <v>583</v>
      </c>
      <c r="C258" s="2">
        <v>21</v>
      </c>
      <c r="D258" s="2">
        <v>2</v>
      </c>
    </row>
    <row r="259" spans="1:4" ht="29" x14ac:dyDescent="0.35">
      <c r="A259" s="2">
        <v>258</v>
      </c>
      <c r="B259" s="3" t="s">
        <v>584</v>
      </c>
      <c r="C259" s="2">
        <v>21</v>
      </c>
      <c r="D259" s="2">
        <v>10</v>
      </c>
    </row>
    <row r="260" spans="1:4" x14ac:dyDescent="0.35">
      <c r="A260" s="2">
        <v>259</v>
      </c>
      <c r="B260" s="3" t="s">
        <v>585</v>
      </c>
      <c r="C260" s="2">
        <v>21</v>
      </c>
      <c r="D260" s="2">
        <v>22</v>
      </c>
    </row>
    <row r="261" spans="1:4" ht="43.5" x14ac:dyDescent="0.35">
      <c r="A261" s="2">
        <v>260</v>
      </c>
      <c r="B261" s="3" t="s">
        <v>586</v>
      </c>
      <c r="C261" s="2">
        <v>21</v>
      </c>
      <c r="D261" s="2">
        <v>15</v>
      </c>
    </row>
    <row r="262" spans="1:4" ht="29" x14ac:dyDescent="0.35">
      <c r="A262" s="2">
        <v>261</v>
      </c>
      <c r="B262" s="3" t="s">
        <v>587</v>
      </c>
      <c r="C262" s="2">
        <v>21</v>
      </c>
      <c r="D262" s="2">
        <v>5</v>
      </c>
    </row>
    <row r="263" spans="1:4" ht="29" x14ac:dyDescent="0.35">
      <c r="A263" s="2">
        <v>262</v>
      </c>
      <c r="B263" s="3" t="s">
        <v>588</v>
      </c>
      <c r="C263" s="2">
        <v>21</v>
      </c>
      <c r="D263" s="2">
        <v>3</v>
      </c>
    </row>
    <row r="264" spans="1:4" ht="29" x14ac:dyDescent="0.35">
      <c r="A264" s="2">
        <v>263</v>
      </c>
      <c r="B264" s="3" t="s">
        <v>589</v>
      </c>
      <c r="C264" s="2">
        <v>22</v>
      </c>
      <c r="D264" s="2">
        <v>3</v>
      </c>
    </row>
    <row r="265" spans="1:4" ht="29" x14ac:dyDescent="0.35">
      <c r="A265" s="2">
        <v>264</v>
      </c>
      <c r="B265" s="3" t="s">
        <v>590</v>
      </c>
      <c r="C265" s="2">
        <v>22</v>
      </c>
      <c r="D265" s="2">
        <v>6</v>
      </c>
    </row>
    <row r="266" spans="1:4" ht="29" x14ac:dyDescent="0.35">
      <c r="A266" s="2">
        <v>265</v>
      </c>
      <c r="B266" s="3" t="s">
        <v>591</v>
      </c>
      <c r="C266" s="2">
        <v>22</v>
      </c>
      <c r="D266" s="2">
        <v>2</v>
      </c>
    </row>
    <row r="267" spans="1:4" ht="29" x14ac:dyDescent="0.35">
      <c r="A267" s="2">
        <v>266</v>
      </c>
      <c r="B267" s="3" t="s">
        <v>592</v>
      </c>
      <c r="C267" s="2">
        <v>22</v>
      </c>
      <c r="D267" s="2">
        <v>14</v>
      </c>
    </row>
    <row r="268" spans="1:4" ht="29" x14ac:dyDescent="0.35">
      <c r="A268" s="2">
        <v>267</v>
      </c>
      <c r="B268" s="3" t="s">
        <v>593</v>
      </c>
      <c r="C268" s="2">
        <v>22</v>
      </c>
      <c r="D268" s="2">
        <v>3</v>
      </c>
    </row>
    <row r="269" spans="1:4" ht="29" x14ac:dyDescent="0.35">
      <c r="A269" s="2">
        <v>268</v>
      </c>
      <c r="B269" s="3" t="s">
        <v>594</v>
      </c>
      <c r="C269" s="2">
        <v>22</v>
      </c>
      <c r="D269" s="2">
        <v>3</v>
      </c>
    </row>
    <row r="270" spans="1:4" ht="29" x14ac:dyDescent="0.35">
      <c r="A270" s="2">
        <v>269</v>
      </c>
      <c r="B270" s="3" t="s">
        <v>595</v>
      </c>
      <c r="C270" s="2">
        <v>22</v>
      </c>
      <c r="D270" s="2">
        <v>3</v>
      </c>
    </row>
    <row r="271" spans="1:4" ht="29" x14ac:dyDescent="0.35">
      <c r="A271" s="2">
        <v>270</v>
      </c>
      <c r="B271" s="3" t="s">
        <v>596</v>
      </c>
      <c r="C271" s="2">
        <v>22</v>
      </c>
      <c r="D271" s="2">
        <v>3</v>
      </c>
    </row>
    <row r="272" spans="1:4" ht="29" x14ac:dyDescent="0.35">
      <c r="A272" s="2">
        <v>271</v>
      </c>
      <c r="B272" s="3" t="s">
        <v>597</v>
      </c>
      <c r="C272" s="2">
        <v>22</v>
      </c>
      <c r="D272" s="2">
        <v>3</v>
      </c>
    </row>
    <row r="273" spans="1:4" ht="29" x14ac:dyDescent="0.35">
      <c r="A273" s="2">
        <v>272</v>
      </c>
      <c r="B273" s="3" t="s">
        <v>598</v>
      </c>
      <c r="C273" s="2">
        <v>22</v>
      </c>
      <c r="D273" s="2">
        <v>2</v>
      </c>
    </row>
    <row r="274" spans="1:4" ht="43.5" x14ac:dyDescent="0.35">
      <c r="A274" s="2">
        <v>273</v>
      </c>
      <c r="B274" s="3" t="s">
        <v>599</v>
      </c>
      <c r="C274" s="2">
        <v>22</v>
      </c>
      <c r="D274" s="2">
        <v>3</v>
      </c>
    </row>
    <row r="275" spans="1:4" ht="29" x14ac:dyDescent="0.35">
      <c r="A275" s="2">
        <v>274</v>
      </c>
      <c r="B275" s="3" t="s">
        <v>600</v>
      </c>
      <c r="C275" s="2">
        <v>23</v>
      </c>
      <c r="D275" s="2">
        <v>3</v>
      </c>
    </row>
    <row r="276" spans="1:4" ht="43.5" x14ac:dyDescent="0.35">
      <c r="A276" s="2">
        <v>275</v>
      </c>
      <c r="B276" s="3" t="s">
        <v>601</v>
      </c>
      <c r="C276" s="2">
        <v>23</v>
      </c>
      <c r="D276" s="2">
        <v>3</v>
      </c>
    </row>
    <row r="277" spans="1:4" ht="29" x14ac:dyDescent="0.35">
      <c r="A277" s="2">
        <v>276</v>
      </c>
      <c r="B277" s="3" t="s">
        <v>602</v>
      </c>
      <c r="C277" s="2">
        <v>23</v>
      </c>
      <c r="D277" s="2">
        <v>3</v>
      </c>
    </row>
    <row r="278" spans="1:4" ht="43.5" x14ac:dyDescent="0.35">
      <c r="A278" s="2">
        <v>277</v>
      </c>
      <c r="B278" s="3" t="s">
        <v>603</v>
      </c>
      <c r="C278" s="2">
        <v>23</v>
      </c>
      <c r="D278" s="2">
        <v>2</v>
      </c>
    </row>
    <row r="279" spans="1:4" ht="29" x14ac:dyDescent="0.35">
      <c r="A279" s="2">
        <v>278</v>
      </c>
      <c r="B279" s="3" t="s">
        <v>604</v>
      </c>
      <c r="C279" s="2">
        <v>23</v>
      </c>
      <c r="D279" s="2">
        <v>2</v>
      </c>
    </row>
    <row r="280" spans="1:4" ht="29" x14ac:dyDescent="0.35">
      <c r="A280" s="2">
        <v>279</v>
      </c>
      <c r="B280" s="3" t="s">
        <v>605</v>
      </c>
      <c r="C280" s="2">
        <v>23</v>
      </c>
      <c r="D280" s="2">
        <v>4</v>
      </c>
    </row>
    <row r="281" spans="1:4" ht="29" x14ac:dyDescent="0.35">
      <c r="A281" s="2">
        <v>280</v>
      </c>
      <c r="B281" s="3" t="s">
        <v>606</v>
      </c>
      <c r="C281" s="2">
        <v>23</v>
      </c>
      <c r="D281" s="2">
        <v>2</v>
      </c>
    </row>
    <row r="282" spans="1:4" x14ac:dyDescent="0.35">
      <c r="A282" s="2">
        <v>281</v>
      </c>
      <c r="B282" s="3" t="s">
        <v>607</v>
      </c>
      <c r="C282" s="2">
        <v>23</v>
      </c>
      <c r="D282" s="2">
        <v>4</v>
      </c>
    </row>
    <row r="283" spans="1:4" x14ac:dyDescent="0.35">
      <c r="A283" s="2">
        <v>282</v>
      </c>
      <c r="B283" s="3" t="s">
        <v>608</v>
      </c>
      <c r="C283" s="2">
        <v>23</v>
      </c>
      <c r="D283" s="2">
        <v>3</v>
      </c>
    </row>
    <row r="284" spans="1:4" x14ac:dyDescent="0.35">
      <c r="A284" s="2">
        <v>283</v>
      </c>
      <c r="B284" s="3" t="s">
        <v>609</v>
      </c>
      <c r="C284" s="2">
        <v>24</v>
      </c>
      <c r="D284" s="2">
        <v>6</v>
      </c>
    </row>
    <row r="285" spans="1:4" ht="29" x14ac:dyDescent="0.35">
      <c r="A285" s="2">
        <v>284</v>
      </c>
      <c r="B285" s="3" t="s">
        <v>610</v>
      </c>
      <c r="C285" s="2">
        <v>24</v>
      </c>
      <c r="D285" s="2">
        <v>9</v>
      </c>
    </row>
    <row r="286" spans="1:4" ht="43.5" x14ac:dyDescent="0.35">
      <c r="A286" s="2">
        <v>285</v>
      </c>
      <c r="B286" s="3" t="s">
        <v>611</v>
      </c>
      <c r="C286" s="2">
        <v>24</v>
      </c>
      <c r="D286" s="2">
        <v>5</v>
      </c>
    </row>
    <row r="287" spans="1:4" ht="29" x14ac:dyDescent="0.35">
      <c r="A287" s="2">
        <v>286</v>
      </c>
      <c r="B287" s="3" t="s">
        <v>612</v>
      </c>
      <c r="C287" s="2">
        <v>24</v>
      </c>
      <c r="D287" s="2">
        <v>4</v>
      </c>
    </row>
    <row r="288" spans="1:4" ht="29" x14ac:dyDescent="0.35">
      <c r="A288" s="2">
        <v>287</v>
      </c>
      <c r="B288" s="3" t="s">
        <v>613</v>
      </c>
      <c r="C288" s="2">
        <v>24</v>
      </c>
      <c r="D288" s="2">
        <v>3</v>
      </c>
    </row>
    <row r="289" spans="1:4" ht="29" x14ac:dyDescent="0.35">
      <c r="A289" s="2">
        <v>288</v>
      </c>
      <c r="B289" s="3" t="s">
        <v>614</v>
      </c>
      <c r="C289" s="2">
        <v>24</v>
      </c>
      <c r="D289" s="2">
        <v>3</v>
      </c>
    </row>
    <row r="290" spans="1:4" ht="29" x14ac:dyDescent="0.35">
      <c r="A290" s="2">
        <v>289</v>
      </c>
      <c r="B290" s="3" t="s">
        <v>615</v>
      </c>
      <c r="C290" s="2">
        <v>24</v>
      </c>
      <c r="D290" s="2">
        <v>4</v>
      </c>
    </row>
    <row r="291" spans="1:4" ht="29" x14ac:dyDescent="0.35">
      <c r="A291" s="2">
        <v>290</v>
      </c>
      <c r="B291" s="3" t="s">
        <v>616</v>
      </c>
      <c r="C291" s="2">
        <v>24</v>
      </c>
      <c r="D291" s="2">
        <v>9</v>
      </c>
    </row>
    <row r="292" spans="1:4" ht="29" x14ac:dyDescent="0.35">
      <c r="A292" s="2">
        <v>291</v>
      </c>
      <c r="B292" s="3" t="s">
        <v>617</v>
      </c>
      <c r="C292" s="2">
        <v>25</v>
      </c>
      <c r="D292" s="2">
        <v>3</v>
      </c>
    </row>
    <row r="293" spans="1:4" x14ac:dyDescent="0.35">
      <c r="A293" s="2">
        <v>292</v>
      </c>
      <c r="B293" s="3" t="s">
        <v>618</v>
      </c>
      <c r="C293" s="2">
        <v>25</v>
      </c>
      <c r="D293" s="2">
        <v>4</v>
      </c>
    </row>
    <row r="294" spans="1:4" ht="29" x14ac:dyDescent="0.35">
      <c r="A294" s="2">
        <v>293</v>
      </c>
      <c r="B294" s="3" t="s">
        <v>619</v>
      </c>
      <c r="C294" s="2">
        <v>25</v>
      </c>
      <c r="D294" s="2">
        <v>2</v>
      </c>
    </row>
    <row r="295" spans="1:4" ht="43.5" x14ac:dyDescent="0.35">
      <c r="A295" s="2">
        <v>294</v>
      </c>
      <c r="B295" s="3" t="s">
        <v>620</v>
      </c>
      <c r="C295" s="2">
        <v>25</v>
      </c>
      <c r="D295" s="2">
        <v>3</v>
      </c>
    </row>
    <row r="296" spans="1:4" ht="43.5" x14ac:dyDescent="0.35">
      <c r="A296" s="2">
        <v>295</v>
      </c>
      <c r="B296" s="3" t="s">
        <v>621</v>
      </c>
      <c r="C296" s="2">
        <v>25</v>
      </c>
      <c r="D296" s="2">
        <v>3</v>
      </c>
    </row>
    <row r="297" spans="1:4" ht="29" x14ac:dyDescent="0.35">
      <c r="A297" s="2">
        <v>296</v>
      </c>
      <c r="B297" s="3" t="s">
        <v>622</v>
      </c>
      <c r="C297" s="2">
        <v>25</v>
      </c>
      <c r="D297" s="2">
        <v>3</v>
      </c>
    </row>
    <row r="298" spans="1:4" ht="29" x14ac:dyDescent="0.35">
      <c r="A298" s="2">
        <v>297</v>
      </c>
      <c r="B298" s="3" t="s">
        <v>623</v>
      </c>
      <c r="C298" s="2">
        <v>25</v>
      </c>
      <c r="D298" s="2">
        <v>3</v>
      </c>
    </row>
    <row r="299" spans="1:4" ht="29" x14ac:dyDescent="0.35">
      <c r="A299" s="2">
        <v>298</v>
      </c>
      <c r="B299" s="3" t="s">
        <v>624</v>
      </c>
      <c r="C299" s="2">
        <v>25</v>
      </c>
      <c r="D299" s="2">
        <v>4</v>
      </c>
    </row>
    <row r="300" spans="1:4" ht="29" x14ac:dyDescent="0.35">
      <c r="A300" s="2">
        <v>299</v>
      </c>
      <c r="B300" s="3" t="s">
        <v>625</v>
      </c>
      <c r="C300" s="2">
        <v>25</v>
      </c>
      <c r="D300" s="2">
        <v>3</v>
      </c>
    </row>
    <row r="301" spans="1:4" ht="29" x14ac:dyDescent="0.35">
      <c r="A301" s="2">
        <v>300</v>
      </c>
      <c r="B301" s="3" t="s">
        <v>626</v>
      </c>
      <c r="C301" s="2">
        <v>25</v>
      </c>
      <c r="D301" s="2">
        <v>19</v>
      </c>
    </row>
    <row r="302" spans="1:4" ht="43.5" x14ac:dyDescent="0.35">
      <c r="A302" s="2">
        <v>301</v>
      </c>
      <c r="B302" s="3" t="s">
        <v>627</v>
      </c>
      <c r="C302" s="2">
        <v>25</v>
      </c>
      <c r="D302" s="2">
        <v>26</v>
      </c>
    </row>
    <row r="303" spans="1:4" ht="29" x14ac:dyDescent="0.35">
      <c r="A303" s="2">
        <v>302</v>
      </c>
      <c r="B303" s="3" t="s">
        <v>628</v>
      </c>
      <c r="C303" s="2">
        <v>25</v>
      </c>
      <c r="D303" s="2">
        <v>15</v>
      </c>
    </row>
    <row r="304" spans="1:4" ht="43.5" x14ac:dyDescent="0.35">
      <c r="A304" s="2">
        <v>303</v>
      </c>
      <c r="B304" s="3" t="s">
        <v>629</v>
      </c>
      <c r="C304" s="2">
        <v>26</v>
      </c>
      <c r="D304" s="2">
        <v>3</v>
      </c>
    </row>
    <row r="305" spans="1:4" ht="29" x14ac:dyDescent="0.35">
      <c r="A305" s="2">
        <v>304</v>
      </c>
      <c r="B305" s="3" t="s">
        <v>630</v>
      </c>
      <c r="C305" s="2">
        <v>26</v>
      </c>
      <c r="D305" s="2">
        <v>3</v>
      </c>
    </row>
    <row r="306" spans="1:4" ht="29" x14ac:dyDescent="0.35">
      <c r="A306" s="2">
        <v>305</v>
      </c>
      <c r="B306" s="3" t="s">
        <v>631</v>
      </c>
      <c r="C306" s="2">
        <v>26</v>
      </c>
      <c r="D306" s="2">
        <v>4</v>
      </c>
    </row>
    <row r="307" spans="1:4" ht="29" x14ac:dyDescent="0.35">
      <c r="A307" s="2">
        <v>306</v>
      </c>
      <c r="B307" s="3" t="s">
        <v>632</v>
      </c>
      <c r="C307" s="2">
        <v>26</v>
      </c>
      <c r="D307" s="2">
        <v>9</v>
      </c>
    </row>
    <row r="308" spans="1:4" ht="29" x14ac:dyDescent="0.35">
      <c r="A308" s="2">
        <v>307</v>
      </c>
      <c r="B308" s="3" t="s">
        <v>633</v>
      </c>
      <c r="C308" s="2">
        <v>26</v>
      </c>
      <c r="D308" s="2">
        <v>14</v>
      </c>
    </row>
    <row r="309" spans="1:4" ht="29" x14ac:dyDescent="0.35">
      <c r="A309" s="2">
        <v>308</v>
      </c>
      <c r="B309" s="3" t="s">
        <v>634</v>
      </c>
      <c r="C309" s="2">
        <v>26</v>
      </c>
      <c r="D309" s="2">
        <v>29</v>
      </c>
    </row>
    <row r="310" spans="1:4" ht="29" x14ac:dyDescent="0.35">
      <c r="A310" s="2">
        <v>309</v>
      </c>
      <c r="B310" s="3" t="s">
        <v>635</v>
      </c>
      <c r="C310" s="2">
        <v>26</v>
      </c>
      <c r="D310" s="2">
        <v>39</v>
      </c>
    </row>
    <row r="311" spans="1:4" ht="29" x14ac:dyDescent="0.35">
      <c r="A311" s="2">
        <v>310</v>
      </c>
      <c r="B311" s="3" t="s">
        <v>636</v>
      </c>
      <c r="C311" s="2">
        <v>26</v>
      </c>
      <c r="D311" s="2">
        <v>39</v>
      </c>
    </row>
    <row r="312" spans="1:4" ht="29" x14ac:dyDescent="0.35">
      <c r="A312" s="2">
        <v>311</v>
      </c>
      <c r="B312" s="3" t="s">
        <v>637</v>
      </c>
      <c r="C312" s="2">
        <v>26</v>
      </c>
      <c r="D312" s="2">
        <v>6</v>
      </c>
    </row>
    <row r="313" spans="1:4" ht="29" x14ac:dyDescent="0.35">
      <c r="A313" s="2">
        <v>312</v>
      </c>
      <c r="B313" s="3" t="s">
        <v>638</v>
      </c>
      <c r="C313" s="2">
        <v>26</v>
      </c>
      <c r="D313" s="2">
        <v>9</v>
      </c>
    </row>
    <row r="314" spans="1:4" ht="29" x14ac:dyDescent="0.35">
      <c r="A314" s="2">
        <v>313</v>
      </c>
      <c r="B314" s="3" t="s">
        <v>639</v>
      </c>
      <c r="C314" s="2">
        <v>26</v>
      </c>
      <c r="D314" s="2">
        <v>5</v>
      </c>
    </row>
    <row r="315" spans="1:4" ht="43.5" x14ac:dyDescent="0.35">
      <c r="A315" s="2">
        <v>314</v>
      </c>
      <c r="B315" s="3" t="s">
        <v>640</v>
      </c>
      <c r="C315" s="2">
        <v>26</v>
      </c>
      <c r="D315" s="2">
        <v>4</v>
      </c>
    </row>
    <row r="316" spans="1:4" ht="29" x14ac:dyDescent="0.35">
      <c r="A316" s="2">
        <v>315</v>
      </c>
      <c r="B316" s="3" t="s">
        <v>641</v>
      </c>
      <c r="C316" s="2">
        <v>26</v>
      </c>
      <c r="D316" s="2">
        <v>7</v>
      </c>
    </row>
    <row r="317" spans="1:4" ht="29" x14ac:dyDescent="0.35">
      <c r="A317" s="2">
        <v>316</v>
      </c>
      <c r="B317" s="3" t="s">
        <v>642</v>
      </c>
      <c r="C317" s="2">
        <v>27</v>
      </c>
      <c r="D317" s="2">
        <v>13</v>
      </c>
    </row>
    <row r="318" spans="1:4" ht="29" x14ac:dyDescent="0.35">
      <c r="A318" s="2">
        <v>317</v>
      </c>
      <c r="B318" s="3" t="s">
        <v>643</v>
      </c>
      <c r="C318" s="2">
        <v>27</v>
      </c>
      <c r="D318" s="2">
        <v>45</v>
      </c>
    </row>
    <row r="319" spans="1:4" ht="29" x14ac:dyDescent="0.35">
      <c r="A319" s="2">
        <v>318</v>
      </c>
      <c r="B319" s="3" t="s">
        <v>644</v>
      </c>
      <c r="C319" s="2">
        <v>27</v>
      </c>
      <c r="D319" s="2">
        <v>3</v>
      </c>
    </row>
    <row r="320" spans="1:4" ht="29" x14ac:dyDescent="0.35">
      <c r="A320" s="2">
        <v>319</v>
      </c>
      <c r="B320" s="3" t="s">
        <v>645</v>
      </c>
      <c r="C320" s="2">
        <v>27</v>
      </c>
      <c r="D320" s="2">
        <v>4</v>
      </c>
    </row>
    <row r="321" spans="1:4" ht="43.5" x14ac:dyDescent="0.35">
      <c r="A321" s="2">
        <v>320</v>
      </c>
      <c r="B321" s="3" t="s">
        <v>646</v>
      </c>
      <c r="C321" s="2">
        <v>27</v>
      </c>
      <c r="D321" s="2">
        <v>2</v>
      </c>
    </row>
    <row r="322" spans="1:4" ht="29" x14ac:dyDescent="0.35">
      <c r="A322" s="2">
        <v>321</v>
      </c>
      <c r="B322" s="3" t="s">
        <v>647</v>
      </c>
      <c r="C322" s="2">
        <v>26</v>
      </c>
      <c r="D322" s="2">
        <v>5</v>
      </c>
    </row>
    <row r="323" spans="1:4" ht="43.5" x14ac:dyDescent="0.35">
      <c r="A323" s="2">
        <v>322</v>
      </c>
      <c r="B323" s="3" t="s">
        <v>648</v>
      </c>
      <c r="C323" s="2">
        <v>27</v>
      </c>
      <c r="D323" s="2">
        <v>2</v>
      </c>
    </row>
    <row r="324" spans="1:4" ht="29" x14ac:dyDescent="0.35">
      <c r="A324" s="2">
        <v>323</v>
      </c>
      <c r="B324" s="3" t="s">
        <v>649</v>
      </c>
      <c r="C324" s="2">
        <v>27</v>
      </c>
      <c r="D324" s="2">
        <v>7</v>
      </c>
    </row>
    <row r="325" spans="1:4" ht="29" x14ac:dyDescent="0.35">
      <c r="A325" s="2">
        <v>324</v>
      </c>
      <c r="B325" s="3" t="s">
        <v>650</v>
      </c>
      <c r="C325" s="2">
        <v>27</v>
      </c>
      <c r="D325" s="2">
        <v>8</v>
      </c>
    </row>
    <row r="326" spans="1:4" ht="43.5" x14ac:dyDescent="0.35">
      <c r="A326" s="2">
        <v>325</v>
      </c>
      <c r="B326" s="3" t="s">
        <v>651</v>
      </c>
      <c r="C326" s="2">
        <v>27</v>
      </c>
      <c r="D326" s="2">
        <v>66</v>
      </c>
    </row>
    <row r="327" spans="1:4" ht="29" x14ac:dyDescent="0.35">
      <c r="A327" s="2">
        <v>326</v>
      </c>
      <c r="B327" s="3" t="s">
        <v>652</v>
      </c>
      <c r="C327" s="2">
        <v>27</v>
      </c>
      <c r="D327" s="2">
        <v>44</v>
      </c>
    </row>
    <row r="328" spans="1:4" ht="29" x14ac:dyDescent="0.35">
      <c r="A328" s="2">
        <v>327</v>
      </c>
      <c r="B328" s="3" t="s">
        <v>653</v>
      </c>
      <c r="C328" s="2">
        <v>27</v>
      </c>
      <c r="D328" s="2">
        <v>78</v>
      </c>
    </row>
    <row r="329" spans="1:4" ht="29" x14ac:dyDescent="0.35">
      <c r="A329" s="2">
        <v>328</v>
      </c>
      <c r="B329" s="3" t="s">
        <v>654</v>
      </c>
      <c r="C329" s="2">
        <v>27</v>
      </c>
      <c r="D329" s="2">
        <v>46</v>
      </c>
    </row>
    <row r="330" spans="1:4" ht="29" x14ac:dyDescent="0.35">
      <c r="A330" s="2">
        <v>329</v>
      </c>
      <c r="B330" s="3" t="s">
        <v>655</v>
      </c>
      <c r="C330" s="2">
        <v>27</v>
      </c>
      <c r="D330" s="2">
        <v>21</v>
      </c>
    </row>
    <row r="331" spans="1:4" ht="29" x14ac:dyDescent="0.35">
      <c r="A331" s="2">
        <v>330</v>
      </c>
      <c r="B331" s="3" t="s">
        <v>656</v>
      </c>
      <c r="C331" s="2">
        <v>27</v>
      </c>
      <c r="D331" s="2">
        <v>23</v>
      </c>
    </row>
    <row r="332" spans="1:4" ht="29" x14ac:dyDescent="0.35">
      <c r="A332" s="2">
        <v>331</v>
      </c>
      <c r="B332" s="3" t="s">
        <v>657</v>
      </c>
      <c r="C332" s="2">
        <v>27</v>
      </c>
      <c r="D332" s="2">
        <v>11</v>
      </c>
    </row>
    <row r="333" spans="1:4" ht="29" x14ac:dyDescent="0.35">
      <c r="A333" s="2">
        <v>332</v>
      </c>
      <c r="B333" s="3" t="s">
        <v>658</v>
      </c>
      <c r="C333" s="2">
        <v>27</v>
      </c>
      <c r="D333" s="2">
        <v>78</v>
      </c>
    </row>
    <row r="334" spans="1:4" x14ac:dyDescent="0.35">
      <c r="A334" s="2">
        <v>333</v>
      </c>
      <c r="B334" s="3" t="s">
        <v>659</v>
      </c>
      <c r="C334" s="2">
        <v>27</v>
      </c>
      <c r="D334" s="2">
        <v>46</v>
      </c>
    </row>
    <row r="335" spans="1:4" ht="29" x14ac:dyDescent="0.35">
      <c r="A335" s="2">
        <v>334</v>
      </c>
      <c r="B335" s="3" t="s">
        <v>660</v>
      </c>
      <c r="C335" s="2">
        <v>27</v>
      </c>
      <c r="D335" s="2">
        <v>4</v>
      </c>
    </row>
    <row r="336" spans="1:4" ht="29" x14ac:dyDescent="0.35">
      <c r="A336" s="2">
        <v>335</v>
      </c>
      <c r="B336" s="3" t="s">
        <v>661</v>
      </c>
      <c r="C336" s="2">
        <v>27</v>
      </c>
      <c r="D336" s="2">
        <v>4</v>
      </c>
    </row>
    <row r="337" spans="1:4" ht="29" x14ac:dyDescent="0.35">
      <c r="A337" s="2">
        <v>336</v>
      </c>
      <c r="B337" s="3" t="s">
        <v>662</v>
      </c>
      <c r="C337" s="2">
        <v>27</v>
      </c>
      <c r="D337" s="2">
        <v>5</v>
      </c>
    </row>
    <row r="338" spans="1:4" ht="29" x14ac:dyDescent="0.35">
      <c r="A338" s="2">
        <v>337</v>
      </c>
      <c r="B338" s="3" t="s">
        <v>663</v>
      </c>
      <c r="C338" s="2">
        <v>27</v>
      </c>
      <c r="D338" s="2">
        <v>4</v>
      </c>
    </row>
    <row r="339" spans="1:4" ht="29" x14ac:dyDescent="0.35">
      <c r="A339" s="2">
        <v>338</v>
      </c>
      <c r="B339" s="3" t="s">
        <v>664</v>
      </c>
      <c r="C339" s="2">
        <v>27</v>
      </c>
      <c r="D339" s="2">
        <v>4</v>
      </c>
    </row>
    <row r="340" spans="1:4" ht="29" x14ac:dyDescent="0.35">
      <c r="A340" s="2">
        <v>339</v>
      </c>
      <c r="B340" s="3" t="s">
        <v>665</v>
      </c>
      <c r="C340" s="2">
        <v>27</v>
      </c>
      <c r="D340" s="2">
        <v>2</v>
      </c>
    </row>
    <row r="341" spans="1:4" ht="43.5" x14ac:dyDescent="0.35">
      <c r="A341" s="2">
        <v>340</v>
      </c>
      <c r="B341" s="3" t="s">
        <v>666</v>
      </c>
      <c r="C341" s="2">
        <v>28</v>
      </c>
      <c r="D341" s="2">
        <v>2</v>
      </c>
    </row>
    <row r="342" spans="1:4" ht="43.5" x14ac:dyDescent="0.35">
      <c r="A342" s="2">
        <v>341</v>
      </c>
      <c r="B342" s="3" t="s">
        <v>667</v>
      </c>
      <c r="C342" s="2">
        <v>28</v>
      </c>
      <c r="D342" s="2">
        <v>3</v>
      </c>
    </row>
    <row r="343" spans="1:4" ht="43.5" x14ac:dyDescent="0.35">
      <c r="A343" s="2">
        <v>342</v>
      </c>
      <c r="B343" s="3" t="s">
        <v>668</v>
      </c>
      <c r="C343" s="2">
        <v>28</v>
      </c>
      <c r="D343" s="2">
        <v>4</v>
      </c>
    </row>
    <row r="344" spans="1:4" x14ac:dyDescent="0.35">
      <c r="A344" s="2">
        <v>343</v>
      </c>
      <c r="B344" s="3" t="s">
        <v>669</v>
      </c>
      <c r="C344" s="2">
        <v>28</v>
      </c>
      <c r="D344" s="2">
        <v>4</v>
      </c>
    </row>
    <row r="345" spans="1:4" ht="29" x14ac:dyDescent="0.35">
      <c r="A345" s="2">
        <v>344</v>
      </c>
      <c r="B345" s="3" t="s">
        <v>670</v>
      </c>
      <c r="C345" s="2">
        <v>28</v>
      </c>
      <c r="D345" s="2">
        <v>4</v>
      </c>
    </row>
    <row r="346" spans="1:4" x14ac:dyDescent="0.35">
      <c r="A346" s="2">
        <v>345</v>
      </c>
      <c r="B346" s="3" t="s">
        <v>671</v>
      </c>
      <c r="C346" s="2">
        <v>28</v>
      </c>
      <c r="D346" s="2">
        <v>5</v>
      </c>
    </row>
    <row r="347" spans="1:4" ht="29" x14ac:dyDescent="0.35">
      <c r="A347" s="2">
        <v>346</v>
      </c>
      <c r="B347" s="3" t="s">
        <v>672</v>
      </c>
      <c r="C347" s="2">
        <v>28</v>
      </c>
      <c r="D347" s="2">
        <v>2</v>
      </c>
    </row>
    <row r="348" spans="1:4" ht="29" x14ac:dyDescent="0.35">
      <c r="A348" s="2">
        <v>347</v>
      </c>
      <c r="B348" s="3" t="s">
        <v>673</v>
      </c>
      <c r="C348" s="2">
        <v>28</v>
      </c>
      <c r="D348" s="2">
        <v>5</v>
      </c>
    </row>
    <row r="349" spans="1:4" ht="29" x14ac:dyDescent="0.35">
      <c r="A349" s="2">
        <v>348</v>
      </c>
      <c r="B349" s="3" t="s">
        <v>674</v>
      </c>
      <c r="C349" s="2">
        <v>28</v>
      </c>
      <c r="D349" s="2">
        <v>2</v>
      </c>
    </row>
    <row r="350" spans="1:4" ht="29" x14ac:dyDescent="0.35">
      <c r="A350" s="2">
        <v>349</v>
      </c>
      <c r="B350" s="3" t="s">
        <v>675</v>
      </c>
      <c r="C350" s="2">
        <v>28</v>
      </c>
      <c r="D350" s="2">
        <v>7</v>
      </c>
    </row>
    <row r="351" spans="1:4" ht="29" x14ac:dyDescent="0.35">
      <c r="A351" s="2">
        <v>350</v>
      </c>
      <c r="B351" s="3" t="s">
        <v>676</v>
      </c>
      <c r="C351" s="2">
        <v>28</v>
      </c>
      <c r="D351" s="2">
        <v>59</v>
      </c>
    </row>
    <row r="352" spans="1:4" x14ac:dyDescent="0.35">
      <c r="A352" s="2">
        <v>351</v>
      </c>
      <c r="B352" s="3" t="s">
        <v>677</v>
      </c>
      <c r="C352" s="2">
        <v>28</v>
      </c>
      <c r="D352" s="2">
        <v>66</v>
      </c>
    </row>
    <row r="353" spans="1:4" ht="29" x14ac:dyDescent="0.35">
      <c r="A353" s="2">
        <v>352</v>
      </c>
      <c r="B353" s="3" t="s">
        <v>678</v>
      </c>
      <c r="C353" s="2">
        <v>28</v>
      </c>
      <c r="D353" s="2">
        <v>89</v>
      </c>
    </row>
    <row r="354" spans="1:4" ht="29" x14ac:dyDescent="0.35">
      <c r="A354" s="2">
        <v>353</v>
      </c>
      <c r="B354" s="3" t="s">
        <v>679</v>
      </c>
      <c r="C354" s="2">
        <v>28</v>
      </c>
      <c r="D354" s="2">
        <v>33</v>
      </c>
    </row>
    <row r="355" spans="1:4" ht="29" x14ac:dyDescent="0.35">
      <c r="A355" s="2">
        <v>354</v>
      </c>
      <c r="B355" s="3" t="s">
        <v>680</v>
      </c>
      <c r="C355" s="2">
        <v>28</v>
      </c>
      <c r="D355" s="2">
        <v>45</v>
      </c>
    </row>
    <row r="356" spans="1:4" ht="29" x14ac:dyDescent="0.35">
      <c r="A356" s="2">
        <v>355</v>
      </c>
      <c r="B356" s="3" t="s">
        <v>681</v>
      </c>
      <c r="C356" s="2">
        <v>28</v>
      </c>
      <c r="D356" s="2">
        <v>62</v>
      </c>
    </row>
    <row r="357" spans="1:4" ht="29" x14ac:dyDescent="0.35">
      <c r="A357" s="2">
        <v>356</v>
      </c>
      <c r="B357" s="3" t="s">
        <v>682</v>
      </c>
      <c r="C357" s="2">
        <v>28</v>
      </c>
      <c r="D357" s="2">
        <v>12</v>
      </c>
    </row>
    <row r="358" spans="1:4" ht="43.5" x14ac:dyDescent="0.35">
      <c r="A358" s="2">
        <v>357</v>
      </c>
      <c r="B358" s="3" t="s">
        <v>683</v>
      </c>
      <c r="C358" s="2">
        <v>28</v>
      </c>
      <c r="D358" s="2">
        <v>33</v>
      </c>
    </row>
    <row r="359" spans="1:4" ht="43.5" x14ac:dyDescent="0.35">
      <c r="A359" s="2">
        <v>358</v>
      </c>
      <c r="B359" s="3" t="s">
        <v>684</v>
      </c>
      <c r="C359" s="2">
        <v>28</v>
      </c>
      <c r="D359" s="2">
        <v>26</v>
      </c>
    </row>
    <row r="360" spans="1:4" ht="29" x14ac:dyDescent="0.35">
      <c r="A360" s="2">
        <v>359</v>
      </c>
      <c r="B360" s="3" t="s">
        <v>685</v>
      </c>
      <c r="C360" s="2">
        <v>28</v>
      </c>
      <c r="D360" s="2">
        <v>90</v>
      </c>
    </row>
    <row r="361" spans="1:4" ht="29" x14ac:dyDescent="0.35">
      <c r="A361" s="2">
        <v>360</v>
      </c>
      <c r="B361" s="3" t="s">
        <v>686</v>
      </c>
      <c r="C361" s="2">
        <v>28</v>
      </c>
      <c r="D361" s="2">
        <v>45</v>
      </c>
    </row>
    <row r="362" spans="1:4" ht="29" x14ac:dyDescent="0.35">
      <c r="A362" s="2">
        <v>361</v>
      </c>
      <c r="B362" s="3" t="s">
        <v>687</v>
      </c>
      <c r="C362" s="2">
        <v>28</v>
      </c>
      <c r="D362" s="2">
        <v>123</v>
      </c>
    </row>
    <row r="363" spans="1:4" ht="29" x14ac:dyDescent="0.35">
      <c r="A363" s="2">
        <v>362</v>
      </c>
      <c r="B363" s="3" t="s">
        <v>688</v>
      </c>
      <c r="C363" s="2">
        <v>29</v>
      </c>
      <c r="D363" s="2">
        <v>4</v>
      </c>
    </row>
    <row r="364" spans="1:4" ht="29" x14ac:dyDescent="0.35">
      <c r="A364" s="2">
        <v>363</v>
      </c>
      <c r="B364" s="3" t="s">
        <v>689</v>
      </c>
      <c r="C364" s="2">
        <v>29</v>
      </c>
      <c r="D364" s="2">
        <v>2</v>
      </c>
    </row>
    <row r="365" spans="1:4" ht="29" x14ac:dyDescent="0.35">
      <c r="A365" s="2">
        <v>364</v>
      </c>
      <c r="B365" s="3" t="s">
        <v>690</v>
      </c>
      <c r="C365" s="2">
        <v>29</v>
      </c>
      <c r="D365" s="2">
        <v>6</v>
      </c>
    </row>
    <row r="366" spans="1:4" ht="29" x14ac:dyDescent="0.35">
      <c r="A366" s="2">
        <v>365</v>
      </c>
      <c r="B366" s="3" t="s">
        <v>691</v>
      </c>
      <c r="C366" s="2">
        <v>29</v>
      </c>
      <c r="D366" s="2">
        <v>7</v>
      </c>
    </row>
    <row r="367" spans="1:4" ht="29" x14ac:dyDescent="0.35">
      <c r="A367" s="2">
        <v>366</v>
      </c>
      <c r="B367" s="3" t="s">
        <v>692</v>
      </c>
      <c r="C367" s="2">
        <v>29</v>
      </c>
      <c r="D367" s="2">
        <v>7</v>
      </c>
    </row>
    <row r="368" spans="1:4" ht="29" x14ac:dyDescent="0.35">
      <c r="A368" s="2">
        <v>367</v>
      </c>
      <c r="B368" s="3" t="s">
        <v>693</v>
      </c>
      <c r="C368" s="2">
        <v>29</v>
      </c>
      <c r="D368" s="2">
        <v>10</v>
      </c>
    </row>
    <row r="369" spans="1:4" ht="43.5" x14ac:dyDescent="0.35">
      <c r="A369" s="2">
        <v>368</v>
      </c>
      <c r="B369" s="3" t="s">
        <v>694</v>
      </c>
      <c r="C369" s="2">
        <v>29</v>
      </c>
      <c r="D369" s="2">
        <v>6</v>
      </c>
    </row>
    <row r="370" spans="1:4" ht="29" x14ac:dyDescent="0.35">
      <c r="A370" s="2">
        <v>369</v>
      </c>
      <c r="B370" s="3" t="s">
        <v>695</v>
      </c>
      <c r="C370" s="2">
        <v>29</v>
      </c>
      <c r="D370" s="2">
        <v>6</v>
      </c>
    </row>
    <row r="371" spans="1:4" ht="29" x14ac:dyDescent="0.35">
      <c r="A371" s="2">
        <v>370</v>
      </c>
      <c r="B371" s="3" t="s">
        <v>696</v>
      </c>
      <c r="C371" s="2">
        <v>29</v>
      </c>
      <c r="D371" s="2">
        <v>7</v>
      </c>
    </row>
    <row r="372" spans="1:4" ht="29" x14ac:dyDescent="0.35">
      <c r="A372" s="2">
        <v>371</v>
      </c>
      <c r="B372" s="3" t="s">
        <v>697</v>
      </c>
      <c r="C372" s="2">
        <v>29</v>
      </c>
      <c r="D372" s="2">
        <v>7</v>
      </c>
    </row>
    <row r="373" spans="1:4" ht="29" x14ac:dyDescent="0.35">
      <c r="A373" s="2">
        <v>372</v>
      </c>
      <c r="B373" s="3" t="s">
        <v>698</v>
      </c>
      <c r="C373" s="2">
        <v>29</v>
      </c>
      <c r="D373" s="2">
        <v>9</v>
      </c>
    </row>
    <row r="374" spans="1:4" ht="29" x14ac:dyDescent="0.35">
      <c r="A374" s="2">
        <v>373</v>
      </c>
      <c r="B374" s="3" t="s">
        <v>699</v>
      </c>
      <c r="C374" s="2">
        <v>30</v>
      </c>
      <c r="D374" s="2">
        <v>6</v>
      </c>
    </row>
    <row r="375" spans="1:4" ht="29" x14ac:dyDescent="0.35">
      <c r="A375" s="2">
        <v>374</v>
      </c>
      <c r="B375" s="3" t="s">
        <v>700</v>
      </c>
      <c r="C375" s="2">
        <v>30</v>
      </c>
      <c r="D375" s="2">
        <v>9</v>
      </c>
    </row>
    <row r="376" spans="1:4" ht="29" x14ac:dyDescent="0.35">
      <c r="A376" s="2">
        <v>375</v>
      </c>
      <c r="B376" s="3" t="s">
        <v>701</v>
      </c>
      <c r="C376" s="2">
        <v>30</v>
      </c>
      <c r="D376" s="2">
        <v>5</v>
      </c>
    </row>
    <row r="377" spans="1:4" ht="29" x14ac:dyDescent="0.35">
      <c r="A377" s="2">
        <v>376</v>
      </c>
      <c r="B377" s="3" t="s">
        <v>702</v>
      </c>
      <c r="C377" s="2">
        <v>30</v>
      </c>
      <c r="D377" s="2">
        <v>4</v>
      </c>
    </row>
    <row r="378" spans="1:4" ht="29" x14ac:dyDescent="0.35">
      <c r="A378" s="2">
        <v>377</v>
      </c>
      <c r="B378" s="3" t="s">
        <v>703</v>
      </c>
      <c r="C378" s="2">
        <v>30</v>
      </c>
      <c r="D378" s="2">
        <v>3</v>
      </c>
    </row>
    <row r="379" spans="1:4" ht="29" x14ac:dyDescent="0.35">
      <c r="A379" s="2">
        <v>378</v>
      </c>
      <c r="B379" s="3" t="s">
        <v>704</v>
      </c>
      <c r="C379" s="2">
        <v>30</v>
      </c>
      <c r="D379" s="2">
        <v>3</v>
      </c>
    </row>
    <row r="380" spans="1:4" ht="29" x14ac:dyDescent="0.35">
      <c r="A380" s="2">
        <v>379</v>
      </c>
      <c r="B380" s="3" t="s">
        <v>705</v>
      </c>
      <c r="C380" s="2">
        <v>30</v>
      </c>
      <c r="D380" s="2">
        <v>4</v>
      </c>
    </row>
    <row r="381" spans="1:4" ht="29" x14ac:dyDescent="0.35">
      <c r="A381" s="2">
        <v>380</v>
      </c>
      <c r="B381" s="3" t="s">
        <v>706</v>
      </c>
      <c r="C381" s="2">
        <v>30</v>
      </c>
      <c r="D381" s="2">
        <v>9</v>
      </c>
    </row>
    <row r="382" spans="1:4" ht="29" x14ac:dyDescent="0.35">
      <c r="A382" s="2">
        <v>381</v>
      </c>
      <c r="B382" s="3" t="s">
        <v>707</v>
      </c>
      <c r="C382" s="2">
        <v>30</v>
      </c>
      <c r="D382" s="2">
        <v>10</v>
      </c>
    </row>
    <row r="383" spans="1:4" ht="29" x14ac:dyDescent="0.35">
      <c r="A383" s="2">
        <v>382</v>
      </c>
      <c r="B383" s="3" t="s">
        <v>708</v>
      </c>
      <c r="C383" s="2">
        <v>30</v>
      </c>
      <c r="D383" s="2">
        <v>5</v>
      </c>
    </row>
    <row r="384" spans="1:4" x14ac:dyDescent="0.35">
      <c r="A384" s="2">
        <v>383</v>
      </c>
      <c r="B384" s="3" t="s">
        <v>709</v>
      </c>
      <c r="C384" s="2">
        <v>30</v>
      </c>
      <c r="D384" s="2">
        <v>9</v>
      </c>
    </row>
    <row r="385" spans="1:4" ht="29" x14ac:dyDescent="0.35">
      <c r="A385" s="2">
        <v>384</v>
      </c>
      <c r="B385" s="3" t="s">
        <v>710</v>
      </c>
      <c r="C385" s="2">
        <v>31</v>
      </c>
      <c r="D385" s="2">
        <v>13</v>
      </c>
    </row>
    <row r="386" spans="1:4" ht="43.5" x14ac:dyDescent="0.35">
      <c r="A386" s="2">
        <v>385</v>
      </c>
      <c r="B386" s="3" t="s">
        <v>711</v>
      </c>
      <c r="C386" s="2">
        <v>31</v>
      </c>
      <c r="D386" s="2">
        <v>8</v>
      </c>
    </row>
    <row r="387" spans="1:4" ht="43.5" x14ac:dyDescent="0.35">
      <c r="A387" s="2">
        <v>386</v>
      </c>
      <c r="B387" s="3" t="s">
        <v>712</v>
      </c>
      <c r="C387" s="2">
        <v>31</v>
      </c>
      <c r="D387" s="2">
        <v>15</v>
      </c>
    </row>
    <row r="388" spans="1:4" ht="29" x14ac:dyDescent="0.35">
      <c r="A388" s="2">
        <v>387</v>
      </c>
      <c r="B388" s="3" t="s">
        <v>713</v>
      </c>
      <c r="C388" s="2">
        <v>31</v>
      </c>
      <c r="D388" s="2">
        <v>7</v>
      </c>
    </row>
    <row r="389" spans="1:4" ht="43.5" x14ac:dyDescent="0.35">
      <c r="A389" s="2">
        <v>388</v>
      </c>
      <c r="B389" s="3" t="s">
        <v>712</v>
      </c>
      <c r="C389" s="2">
        <v>31</v>
      </c>
      <c r="D389" s="2">
        <v>15</v>
      </c>
    </row>
    <row r="390" spans="1:4" ht="29" x14ac:dyDescent="0.35">
      <c r="A390" s="2">
        <v>389</v>
      </c>
      <c r="B390" s="3" t="s">
        <v>714</v>
      </c>
      <c r="C390" s="2">
        <v>31</v>
      </c>
      <c r="D390" s="2">
        <v>8</v>
      </c>
    </row>
    <row r="391" spans="1:4" ht="29" x14ac:dyDescent="0.35">
      <c r="A391" s="2">
        <v>390</v>
      </c>
      <c r="B391" s="3" t="s">
        <v>715</v>
      </c>
      <c r="C391" s="2">
        <v>31</v>
      </c>
      <c r="D391" s="2">
        <v>11</v>
      </c>
    </row>
    <row r="392" spans="1:4" ht="29" x14ac:dyDescent="0.35">
      <c r="A392" s="2">
        <v>391</v>
      </c>
      <c r="B392" s="3" t="s">
        <v>716</v>
      </c>
      <c r="C392" s="2">
        <v>31</v>
      </c>
      <c r="D392" s="2">
        <v>8</v>
      </c>
    </row>
    <row r="393" spans="1:4" ht="29" x14ac:dyDescent="0.35">
      <c r="A393" s="2">
        <v>392</v>
      </c>
      <c r="B393" s="3" t="s">
        <v>717</v>
      </c>
      <c r="C393" s="2">
        <v>31</v>
      </c>
      <c r="D393" s="2">
        <v>6</v>
      </c>
    </row>
    <row r="394" spans="1:4" ht="29" x14ac:dyDescent="0.35">
      <c r="A394" s="2">
        <v>393</v>
      </c>
      <c r="B394" s="3" t="s">
        <v>718</v>
      </c>
      <c r="C394" s="2">
        <v>31</v>
      </c>
      <c r="D394" s="2">
        <v>10</v>
      </c>
    </row>
    <row r="395" spans="1:4" ht="43.5" x14ac:dyDescent="0.35">
      <c r="A395" s="2">
        <v>394</v>
      </c>
      <c r="B395" s="3" t="s">
        <v>719</v>
      </c>
      <c r="C395" s="2">
        <v>31</v>
      </c>
      <c r="D395" s="2">
        <v>10</v>
      </c>
    </row>
    <row r="396" spans="1:4" ht="29" x14ac:dyDescent="0.35">
      <c r="A396" s="2">
        <v>395</v>
      </c>
      <c r="B396" s="3" t="s">
        <v>720</v>
      </c>
      <c r="C396" s="2">
        <v>31</v>
      </c>
      <c r="D396" s="2">
        <v>14</v>
      </c>
    </row>
    <row r="397" spans="1:4" ht="29" x14ac:dyDescent="0.35">
      <c r="A397" s="2">
        <v>396</v>
      </c>
      <c r="B397" s="3" t="s">
        <v>721</v>
      </c>
      <c r="C397" s="2">
        <v>31</v>
      </c>
      <c r="D397" s="2">
        <v>15</v>
      </c>
    </row>
    <row r="398" spans="1:4" ht="29" x14ac:dyDescent="0.35">
      <c r="A398" s="2">
        <v>397</v>
      </c>
      <c r="B398" s="3" t="s">
        <v>722</v>
      </c>
      <c r="C398" s="2">
        <v>31</v>
      </c>
      <c r="D398" s="2">
        <v>12</v>
      </c>
    </row>
    <row r="399" spans="1:4" ht="43.5" x14ac:dyDescent="0.35">
      <c r="A399" s="2">
        <v>398</v>
      </c>
      <c r="B399" s="3" t="s">
        <v>723</v>
      </c>
      <c r="C399" s="2">
        <v>31</v>
      </c>
      <c r="D399" s="2">
        <v>12</v>
      </c>
    </row>
    <row r="400" spans="1:4" ht="29" x14ac:dyDescent="0.35">
      <c r="A400" s="2">
        <v>399</v>
      </c>
      <c r="B400" s="3" t="s">
        <v>724</v>
      </c>
      <c r="C400" s="2">
        <v>31</v>
      </c>
      <c r="D400" s="2">
        <v>8</v>
      </c>
    </row>
    <row r="401" spans="1:4" ht="29" x14ac:dyDescent="0.35">
      <c r="A401" s="2">
        <v>400</v>
      </c>
      <c r="B401" s="3" t="s">
        <v>725</v>
      </c>
      <c r="C401" s="2">
        <v>31</v>
      </c>
      <c r="D401" s="2">
        <v>15</v>
      </c>
    </row>
    <row r="402" spans="1:4" ht="29" x14ac:dyDescent="0.35">
      <c r="A402" s="2">
        <v>401</v>
      </c>
      <c r="B402" s="3" t="s">
        <v>726</v>
      </c>
      <c r="C402" s="2">
        <v>31</v>
      </c>
      <c r="D402" s="2">
        <v>13</v>
      </c>
    </row>
    <row r="403" spans="1:4" ht="43.5" x14ac:dyDescent="0.35">
      <c r="A403" s="2">
        <v>402</v>
      </c>
      <c r="B403" s="3" t="s">
        <v>727</v>
      </c>
      <c r="C403" s="2">
        <v>31</v>
      </c>
      <c r="D403" s="2">
        <v>13</v>
      </c>
    </row>
    <row r="404" spans="1:4" ht="29" x14ac:dyDescent="0.35">
      <c r="A404" s="2">
        <v>403</v>
      </c>
      <c r="B404" s="3" t="s">
        <v>728</v>
      </c>
      <c r="C404" s="2">
        <v>32</v>
      </c>
      <c r="D404" s="2">
        <v>18</v>
      </c>
    </row>
    <row r="405" spans="1:4" ht="29" x14ac:dyDescent="0.35">
      <c r="A405" s="2">
        <v>404</v>
      </c>
      <c r="B405" s="3" t="s">
        <v>729</v>
      </c>
      <c r="C405" s="2">
        <v>32</v>
      </c>
      <c r="D405" s="2">
        <v>20</v>
      </c>
    </row>
    <row r="406" spans="1:4" ht="29" x14ac:dyDescent="0.35">
      <c r="A406" s="2">
        <v>405</v>
      </c>
      <c r="B406" s="3" t="s">
        <v>730</v>
      </c>
      <c r="C406" s="2">
        <v>32</v>
      </c>
      <c r="D406" s="2">
        <v>13</v>
      </c>
    </row>
    <row r="407" spans="1:4" ht="29" x14ac:dyDescent="0.35">
      <c r="A407" s="2">
        <v>406</v>
      </c>
      <c r="B407" s="3" t="s">
        <v>731</v>
      </c>
      <c r="C407" s="2">
        <v>32</v>
      </c>
      <c r="D407" s="2">
        <v>20</v>
      </c>
    </row>
    <row r="408" spans="1:4" ht="29" x14ac:dyDescent="0.35">
      <c r="A408" s="2">
        <v>407</v>
      </c>
      <c r="B408" s="3" t="s">
        <v>732</v>
      </c>
      <c r="C408" s="2">
        <v>32</v>
      </c>
      <c r="D408" s="2">
        <v>16</v>
      </c>
    </row>
    <row r="409" spans="1:4" ht="29" x14ac:dyDescent="0.35">
      <c r="A409" s="2">
        <v>408</v>
      </c>
      <c r="B409" s="3" t="s">
        <v>733</v>
      </c>
      <c r="C409" s="2">
        <v>32</v>
      </c>
      <c r="D409" s="2">
        <v>20</v>
      </c>
    </row>
    <row r="410" spans="1:4" ht="29" x14ac:dyDescent="0.35">
      <c r="A410" s="2">
        <v>409</v>
      </c>
      <c r="B410" s="3" t="s">
        <v>734</v>
      </c>
      <c r="C410" s="2">
        <v>32</v>
      </c>
      <c r="D410" s="2">
        <v>10</v>
      </c>
    </row>
    <row r="411" spans="1:4" ht="29" x14ac:dyDescent="0.35">
      <c r="A411" s="2">
        <v>410</v>
      </c>
      <c r="B411" s="3" t="s">
        <v>735</v>
      </c>
      <c r="C411" s="2">
        <v>32</v>
      </c>
      <c r="D411" s="2">
        <v>16</v>
      </c>
    </row>
    <row r="412" spans="1:4" ht="29" x14ac:dyDescent="0.35">
      <c r="A412" s="2">
        <v>411</v>
      </c>
      <c r="B412" s="3" t="s">
        <v>736</v>
      </c>
      <c r="C412" s="2">
        <v>32</v>
      </c>
      <c r="D412" s="2">
        <v>16</v>
      </c>
    </row>
    <row r="413" spans="1:4" ht="29" x14ac:dyDescent="0.35">
      <c r="A413" s="2">
        <v>412</v>
      </c>
      <c r="B413" s="3" t="s">
        <v>737</v>
      </c>
      <c r="C413" s="2">
        <v>32</v>
      </c>
      <c r="D413" s="2">
        <v>20</v>
      </c>
    </row>
    <row r="414" spans="1:4" ht="29" x14ac:dyDescent="0.35">
      <c r="A414" s="2">
        <v>413</v>
      </c>
      <c r="B414" s="3" t="s">
        <v>738</v>
      </c>
      <c r="C414" s="2">
        <v>32</v>
      </c>
      <c r="D414" s="2">
        <v>20</v>
      </c>
    </row>
    <row r="415" spans="1:4" ht="29" x14ac:dyDescent="0.35">
      <c r="A415" s="2">
        <v>414</v>
      </c>
      <c r="B415" s="3" t="s">
        <v>732</v>
      </c>
      <c r="C415" s="2">
        <v>32</v>
      </c>
      <c r="D415" s="2">
        <v>16</v>
      </c>
    </row>
    <row r="416" spans="1:4" ht="29" x14ac:dyDescent="0.35">
      <c r="A416" s="2">
        <v>415</v>
      </c>
      <c r="B416" s="3" t="s">
        <v>739</v>
      </c>
      <c r="C416" s="2">
        <v>32</v>
      </c>
      <c r="D416" s="2">
        <v>20</v>
      </c>
    </row>
    <row r="417" spans="1:4" ht="29" x14ac:dyDescent="0.35">
      <c r="A417" s="2">
        <v>416</v>
      </c>
      <c r="B417" s="3" t="s">
        <v>740</v>
      </c>
      <c r="C417" s="2">
        <v>32</v>
      </c>
      <c r="D417" s="2">
        <v>14</v>
      </c>
    </row>
    <row r="418" spans="1:4" ht="29" x14ac:dyDescent="0.35">
      <c r="A418" s="2">
        <v>417</v>
      </c>
      <c r="B418" s="3" t="s">
        <v>741</v>
      </c>
      <c r="C418" s="2">
        <v>32</v>
      </c>
      <c r="D418" s="2">
        <v>20</v>
      </c>
    </row>
    <row r="419" spans="1:4" ht="43.5" x14ac:dyDescent="0.35">
      <c r="A419" s="2">
        <v>418</v>
      </c>
      <c r="B419" s="3" t="s">
        <v>742</v>
      </c>
      <c r="C419" s="2">
        <v>32</v>
      </c>
      <c r="D419" s="2">
        <v>20</v>
      </c>
    </row>
    <row r="420" spans="1:4" ht="29" x14ac:dyDescent="0.35">
      <c r="A420" s="2">
        <v>419</v>
      </c>
      <c r="B420" s="3" t="s">
        <v>743</v>
      </c>
      <c r="C420" s="2">
        <v>33</v>
      </c>
      <c r="D420" s="2">
        <v>13</v>
      </c>
    </row>
    <row r="421" spans="1:4" ht="29" x14ac:dyDescent="0.35">
      <c r="A421" s="2">
        <v>420</v>
      </c>
      <c r="B421" s="3" t="s">
        <v>744</v>
      </c>
      <c r="C421" s="2">
        <v>33</v>
      </c>
      <c r="D421" s="2">
        <v>17</v>
      </c>
    </row>
    <row r="422" spans="1:4" ht="43.5" x14ac:dyDescent="0.35">
      <c r="A422" s="2">
        <v>421</v>
      </c>
      <c r="B422" s="3" t="s">
        <v>745</v>
      </c>
      <c r="C422" s="2">
        <v>33</v>
      </c>
      <c r="D422" s="2">
        <v>8</v>
      </c>
    </row>
    <row r="423" spans="1:4" ht="29" x14ac:dyDescent="0.35">
      <c r="A423" s="2">
        <v>422</v>
      </c>
      <c r="B423" s="3" t="s">
        <v>746</v>
      </c>
      <c r="C423" s="2">
        <v>33</v>
      </c>
      <c r="D423" s="2">
        <v>7</v>
      </c>
    </row>
    <row r="424" spans="1:4" ht="29" x14ac:dyDescent="0.35">
      <c r="A424" s="2">
        <v>423</v>
      </c>
      <c r="B424" s="3" t="s">
        <v>747</v>
      </c>
      <c r="C424" s="2">
        <v>33</v>
      </c>
      <c r="D424" s="2">
        <v>18</v>
      </c>
    </row>
    <row r="425" spans="1:4" ht="29" x14ac:dyDescent="0.35">
      <c r="A425" s="2">
        <v>424</v>
      </c>
      <c r="B425" s="3" t="s">
        <v>748</v>
      </c>
      <c r="C425" s="2">
        <v>33</v>
      </c>
      <c r="D425" s="2">
        <v>12</v>
      </c>
    </row>
    <row r="426" spans="1:4" ht="29" x14ac:dyDescent="0.35">
      <c r="A426" s="2">
        <v>425</v>
      </c>
      <c r="B426" s="3" t="s">
        <v>749</v>
      </c>
      <c r="C426" s="2">
        <v>33</v>
      </c>
      <c r="D426" s="2">
        <v>17</v>
      </c>
    </row>
    <row r="427" spans="1:4" ht="29" x14ac:dyDescent="0.35">
      <c r="A427" s="2">
        <v>426</v>
      </c>
      <c r="B427" s="3" t="s">
        <v>750</v>
      </c>
      <c r="C427" s="2">
        <v>33</v>
      </c>
      <c r="D427" s="2">
        <v>7</v>
      </c>
    </row>
    <row r="428" spans="1:4" ht="29" x14ac:dyDescent="0.35">
      <c r="A428" s="2">
        <v>427</v>
      </c>
      <c r="B428" s="3" t="s">
        <v>751</v>
      </c>
      <c r="C428" s="2">
        <v>33</v>
      </c>
      <c r="D428" s="2">
        <v>18</v>
      </c>
    </row>
    <row r="429" spans="1:4" ht="29" x14ac:dyDescent="0.35">
      <c r="A429" s="2">
        <v>428</v>
      </c>
      <c r="B429" s="3" t="s">
        <v>752</v>
      </c>
      <c r="C429" s="2">
        <v>33</v>
      </c>
      <c r="D429" s="2">
        <v>15</v>
      </c>
    </row>
    <row r="430" spans="1:4" ht="29" x14ac:dyDescent="0.35">
      <c r="A430" s="2">
        <v>429</v>
      </c>
      <c r="B430" s="3" t="s">
        <v>753</v>
      </c>
      <c r="C430" s="2">
        <v>33</v>
      </c>
      <c r="D430" s="2">
        <v>14</v>
      </c>
    </row>
    <row r="431" spans="1:4" ht="29" x14ac:dyDescent="0.35">
      <c r="A431" s="2">
        <v>430</v>
      </c>
      <c r="B431" s="3" t="s">
        <v>754</v>
      </c>
      <c r="C431" s="2">
        <v>33</v>
      </c>
      <c r="D431" s="2">
        <v>18</v>
      </c>
    </row>
    <row r="432" spans="1:4" ht="29" x14ac:dyDescent="0.35">
      <c r="A432" s="2">
        <v>431</v>
      </c>
      <c r="B432" s="3" t="s">
        <v>755</v>
      </c>
      <c r="C432" s="2">
        <v>33</v>
      </c>
      <c r="D432" s="2">
        <v>15</v>
      </c>
    </row>
    <row r="433" spans="1:4" ht="29" x14ac:dyDescent="0.35">
      <c r="A433" s="2">
        <v>432</v>
      </c>
      <c r="B433" s="3" t="s">
        <v>756</v>
      </c>
      <c r="C433" s="2">
        <v>33</v>
      </c>
      <c r="D433" s="2">
        <v>50</v>
      </c>
    </row>
    <row r="434" spans="1:4" ht="29" x14ac:dyDescent="0.35">
      <c r="A434" s="2">
        <v>433</v>
      </c>
      <c r="B434" s="3" t="s">
        <v>753</v>
      </c>
      <c r="C434" s="2">
        <v>33</v>
      </c>
      <c r="D434" s="2">
        <v>14</v>
      </c>
    </row>
    <row r="435" spans="1:4" ht="29" x14ac:dyDescent="0.35">
      <c r="A435" s="2">
        <v>434</v>
      </c>
      <c r="B435" s="3" t="s">
        <v>757</v>
      </c>
      <c r="C435" s="2">
        <v>33</v>
      </c>
      <c r="D435" s="2">
        <v>24</v>
      </c>
    </row>
    <row r="436" spans="1:4" ht="29" x14ac:dyDescent="0.35">
      <c r="A436" s="2">
        <v>435</v>
      </c>
      <c r="B436" s="3" t="s">
        <v>758</v>
      </c>
      <c r="C436" s="2">
        <v>33</v>
      </c>
      <c r="D436" s="2">
        <v>10</v>
      </c>
    </row>
    <row r="437" spans="1:4" ht="29" x14ac:dyDescent="0.35">
      <c r="A437" s="2">
        <v>436</v>
      </c>
      <c r="B437" s="3" t="s">
        <v>759</v>
      </c>
      <c r="C437" s="2">
        <v>33</v>
      </c>
      <c r="D437" s="2">
        <v>8</v>
      </c>
    </row>
    <row r="438" spans="1:4" ht="29" x14ac:dyDescent="0.35">
      <c r="A438" s="2">
        <v>437</v>
      </c>
      <c r="B438" s="3" t="s">
        <v>760</v>
      </c>
      <c r="C438" s="2">
        <v>33</v>
      </c>
      <c r="D438" s="2">
        <v>12</v>
      </c>
    </row>
    <row r="439" spans="1:4" ht="29" x14ac:dyDescent="0.35">
      <c r="A439" s="2">
        <v>438</v>
      </c>
      <c r="B439" s="3" t="s">
        <v>761</v>
      </c>
      <c r="C439" s="2">
        <v>33</v>
      </c>
      <c r="D439" s="2">
        <v>8</v>
      </c>
    </row>
    <row r="440" spans="1:4" ht="29" x14ac:dyDescent="0.35">
      <c r="A440" s="2">
        <v>439</v>
      </c>
      <c r="B440" s="3" t="s">
        <v>762</v>
      </c>
      <c r="C440" s="2">
        <v>33</v>
      </c>
      <c r="D440" s="2">
        <v>10</v>
      </c>
    </row>
    <row r="441" spans="1:4" ht="29" x14ac:dyDescent="0.35">
      <c r="A441" s="2">
        <v>440</v>
      </c>
      <c r="B441" s="3" t="s">
        <v>763</v>
      </c>
      <c r="C441" s="2">
        <v>34</v>
      </c>
      <c r="D441" s="2">
        <v>38</v>
      </c>
    </row>
    <row r="442" spans="1:4" ht="29" x14ac:dyDescent="0.35">
      <c r="A442" s="2">
        <v>441</v>
      </c>
      <c r="B442" s="3" t="s">
        <v>764</v>
      </c>
      <c r="C442" s="2">
        <v>34</v>
      </c>
      <c r="D442" s="2">
        <v>29</v>
      </c>
    </row>
    <row r="443" spans="1:4" ht="29" x14ac:dyDescent="0.35">
      <c r="A443" s="2">
        <v>442</v>
      </c>
      <c r="B443" s="3" t="s">
        <v>765</v>
      </c>
      <c r="C443" s="2">
        <v>34</v>
      </c>
      <c r="D443" s="2">
        <v>30</v>
      </c>
    </row>
    <row r="444" spans="1:4" ht="29" x14ac:dyDescent="0.35">
      <c r="A444" s="2">
        <v>443</v>
      </c>
      <c r="B444" s="3" t="s">
        <v>766</v>
      </c>
      <c r="C444" s="2">
        <v>34</v>
      </c>
      <c r="D444" s="2">
        <v>19</v>
      </c>
    </row>
    <row r="445" spans="1:4" ht="29" x14ac:dyDescent="0.35">
      <c r="A445" s="2">
        <v>444</v>
      </c>
      <c r="B445" s="3" t="s">
        <v>767</v>
      </c>
      <c r="C445" s="2">
        <v>34</v>
      </c>
      <c r="D445" s="2">
        <v>35</v>
      </c>
    </row>
    <row r="446" spans="1:4" ht="29" x14ac:dyDescent="0.35">
      <c r="A446" s="2">
        <v>445</v>
      </c>
      <c r="B446" s="3" t="s">
        <v>768</v>
      </c>
      <c r="C446" s="2">
        <v>34</v>
      </c>
      <c r="D446" s="2">
        <v>46</v>
      </c>
    </row>
    <row r="447" spans="1:4" ht="29" x14ac:dyDescent="0.35">
      <c r="A447" s="2">
        <v>446</v>
      </c>
      <c r="B447" s="3" t="s">
        <v>769</v>
      </c>
      <c r="C447" s="2">
        <v>34</v>
      </c>
      <c r="D447" s="2">
        <v>40</v>
      </c>
    </row>
    <row r="448" spans="1:4" ht="29" x14ac:dyDescent="0.35">
      <c r="A448" s="2">
        <v>447</v>
      </c>
      <c r="B448" s="3" t="s">
        <v>770</v>
      </c>
      <c r="C448" s="2">
        <v>34</v>
      </c>
      <c r="D448" s="2">
        <v>38</v>
      </c>
    </row>
    <row r="449" spans="1:4" x14ac:dyDescent="0.35">
      <c r="A449" s="2">
        <v>448</v>
      </c>
      <c r="B449" s="3" t="s">
        <v>771</v>
      </c>
      <c r="C449" s="2">
        <v>34</v>
      </c>
      <c r="D449" s="2">
        <v>47</v>
      </c>
    </row>
    <row r="450" spans="1:4" ht="29" x14ac:dyDescent="0.35">
      <c r="A450" s="2">
        <v>449</v>
      </c>
      <c r="B450" s="3" t="s">
        <v>772</v>
      </c>
      <c r="C450" s="2">
        <v>34</v>
      </c>
      <c r="D450" s="2">
        <v>19</v>
      </c>
    </row>
    <row r="451" spans="1:4" ht="29" x14ac:dyDescent="0.35">
      <c r="A451" s="2">
        <v>450</v>
      </c>
      <c r="B451" s="3" t="s">
        <v>773</v>
      </c>
      <c r="C451" s="2">
        <v>34</v>
      </c>
      <c r="D451" s="2">
        <v>11</v>
      </c>
    </row>
    <row r="452" spans="1:4" ht="29" x14ac:dyDescent="0.35">
      <c r="A452" s="2">
        <v>451</v>
      </c>
      <c r="B452" s="3" t="s">
        <v>774</v>
      </c>
      <c r="C452" s="2">
        <v>34</v>
      </c>
      <c r="D452" s="2">
        <v>19</v>
      </c>
    </row>
    <row r="453" spans="1:4" ht="29" x14ac:dyDescent="0.35">
      <c r="A453" s="2">
        <v>452</v>
      </c>
      <c r="B453" s="3" t="s">
        <v>775</v>
      </c>
      <c r="C453" s="2">
        <v>34</v>
      </c>
      <c r="D453" s="2">
        <v>24</v>
      </c>
    </row>
    <row r="454" spans="1:4" ht="29" x14ac:dyDescent="0.35">
      <c r="A454" s="2">
        <v>453</v>
      </c>
      <c r="B454" s="3" t="s">
        <v>776</v>
      </c>
      <c r="C454" s="2">
        <v>34</v>
      </c>
      <c r="D454" s="2">
        <v>19</v>
      </c>
    </row>
    <row r="455" spans="1:4" ht="29" x14ac:dyDescent="0.35">
      <c r="A455" s="2">
        <v>454</v>
      </c>
      <c r="B455" s="3" t="s">
        <v>777</v>
      </c>
      <c r="C455" s="2">
        <v>34</v>
      </c>
      <c r="D455" s="2">
        <v>22</v>
      </c>
    </row>
    <row r="456" spans="1:4" ht="29" x14ac:dyDescent="0.35">
      <c r="A456" s="2">
        <v>455</v>
      </c>
      <c r="B456" s="3" t="s">
        <v>778</v>
      </c>
      <c r="C456" s="2">
        <v>34</v>
      </c>
      <c r="D456" s="2">
        <v>20</v>
      </c>
    </row>
    <row r="457" spans="1:4" ht="29" x14ac:dyDescent="0.35">
      <c r="A457" s="2">
        <v>456</v>
      </c>
      <c r="B457" s="3" t="s">
        <v>779</v>
      </c>
      <c r="C457" s="2">
        <v>34</v>
      </c>
      <c r="D457" s="2">
        <v>16</v>
      </c>
    </row>
    <row r="458" spans="1:4" ht="29" x14ac:dyDescent="0.35">
      <c r="A458" s="2">
        <v>457</v>
      </c>
      <c r="B458" s="3" t="s">
        <v>780</v>
      </c>
      <c r="C458" s="2">
        <v>34</v>
      </c>
      <c r="D458" s="2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7"/>
  <sheetViews>
    <sheetView workbookViewId="0">
      <selection activeCell="O10" sqref="O10"/>
    </sheetView>
  </sheetViews>
  <sheetFormatPr defaultRowHeight="14.5" x14ac:dyDescent="0.35"/>
  <cols>
    <col min="1" max="2" width="13.81640625" customWidth="1"/>
  </cols>
  <sheetData>
    <row r="1" spans="1:2" x14ac:dyDescent="0.35">
      <c r="A1" s="1" t="s">
        <v>207</v>
      </c>
      <c r="B1" s="1" t="s">
        <v>781</v>
      </c>
    </row>
    <row r="2" spans="1:2" x14ac:dyDescent="0.35">
      <c r="A2" s="5">
        <v>40179</v>
      </c>
      <c r="B2" s="2">
        <v>201001</v>
      </c>
    </row>
    <row r="3" spans="1:2" x14ac:dyDescent="0.35">
      <c r="A3" s="5">
        <v>40180</v>
      </c>
      <c r="B3" s="2">
        <v>201001</v>
      </c>
    </row>
    <row r="4" spans="1:2" x14ac:dyDescent="0.35">
      <c r="A4" s="5">
        <v>40181</v>
      </c>
      <c r="B4" s="2">
        <v>201001</v>
      </c>
    </row>
    <row r="5" spans="1:2" x14ac:dyDescent="0.35">
      <c r="A5" s="5">
        <v>40182</v>
      </c>
      <c r="B5" s="2">
        <v>201001</v>
      </c>
    </row>
    <row r="6" spans="1:2" x14ac:dyDescent="0.35">
      <c r="A6" s="5">
        <v>40183</v>
      </c>
      <c r="B6" s="2">
        <v>201001</v>
      </c>
    </row>
    <row r="7" spans="1:2" x14ac:dyDescent="0.35">
      <c r="A7" s="5">
        <v>40184</v>
      </c>
      <c r="B7" s="2">
        <v>201001</v>
      </c>
    </row>
    <row r="8" spans="1:2" x14ac:dyDescent="0.35">
      <c r="A8" s="5">
        <v>40185</v>
      </c>
      <c r="B8" s="2">
        <v>201001</v>
      </c>
    </row>
    <row r="9" spans="1:2" x14ac:dyDescent="0.35">
      <c r="A9" s="5">
        <v>40186</v>
      </c>
      <c r="B9" s="2">
        <v>201001</v>
      </c>
    </row>
    <row r="10" spans="1:2" x14ac:dyDescent="0.35">
      <c r="A10" s="5">
        <v>40187</v>
      </c>
      <c r="B10" s="2">
        <v>201001</v>
      </c>
    </row>
    <row r="11" spans="1:2" x14ac:dyDescent="0.35">
      <c r="A11" s="5">
        <v>40188</v>
      </c>
      <c r="B11" s="2">
        <v>201001</v>
      </c>
    </row>
    <row r="12" spans="1:2" x14ac:dyDescent="0.35">
      <c r="A12" s="5">
        <v>40189</v>
      </c>
      <c r="B12" s="2">
        <v>201001</v>
      </c>
    </row>
    <row r="13" spans="1:2" x14ac:dyDescent="0.35">
      <c r="A13" s="5">
        <v>40190</v>
      </c>
      <c r="B13" s="2">
        <v>201001</v>
      </c>
    </row>
    <row r="14" spans="1:2" x14ac:dyDescent="0.35">
      <c r="A14" s="5">
        <v>40191</v>
      </c>
      <c r="B14" s="2">
        <v>201001</v>
      </c>
    </row>
    <row r="15" spans="1:2" x14ac:dyDescent="0.35">
      <c r="A15" s="5">
        <v>40192</v>
      </c>
      <c r="B15" s="2">
        <v>201001</v>
      </c>
    </row>
    <row r="16" spans="1:2" x14ac:dyDescent="0.35">
      <c r="A16" s="5">
        <v>40193</v>
      </c>
      <c r="B16" s="2">
        <v>201001</v>
      </c>
    </row>
    <row r="17" spans="1:2" x14ac:dyDescent="0.35">
      <c r="A17" s="5">
        <v>40194</v>
      </c>
      <c r="B17" s="2">
        <v>201001</v>
      </c>
    </row>
    <row r="18" spans="1:2" x14ac:dyDescent="0.35">
      <c r="A18" s="5">
        <v>40195</v>
      </c>
      <c r="B18" s="2">
        <v>201001</v>
      </c>
    </row>
    <row r="19" spans="1:2" x14ac:dyDescent="0.35">
      <c r="A19" s="5">
        <v>40196</v>
      </c>
      <c r="B19" s="2">
        <v>201001</v>
      </c>
    </row>
    <row r="20" spans="1:2" x14ac:dyDescent="0.35">
      <c r="A20" s="5">
        <v>40197</v>
      </c>
      <c r="B20" s="2">
        <v>201001</v>
      </c>
    </row>
    <row r="21" spans="1:2" x14ac:dyDescent="0.35">
      <c r="A21" s="5">
        <v>40198</v>
      </c>
      <c r="B21" s="2">
        <v>201001</v>
      </c>
    </row>
    <row r="22" spans="1:2" x14ac:dyDescent="0.35">
      <c r="A22" s="5">
        <v>40199</v>
      </c>
      <c r="B22" s="2">
        <v>201001</v>
      </c>
    </row>
    <row r="23" spans="1:2" x14ac:dyDescent="0.35">
      <c r="A23" s="5">
        <v>40200</v>
      </c>
      <c r="B23" s="2">
        <v>201001</v>
      </c>
    </row>
    <row r="24" spans="1:2" x14ac:dyDescent="0.35">
      <c r="A24" s="5">
        <v>40201</v>
      </c>
      <c r="B24" s="2">
        <v>201001</v>
      </c>
    </row>
    <row r="25" spans="1:2" x14ac:dyDescent="0.35">
      <c r="A25" s="5">
        <v>40202</v>
      </c>
      <c r="B25" s="2">
        <v>201001</v>
      </c>
    </row>
    <row r="26" spans="1:2" x14ac:dyDescent="0.35">
      <c r="A26" s="5">
        <v>40203</v>
      </c>
      <c r="B26" s="2">
        <v>201001</v>
      </c>
    </row>
    <row r="27" spans="1:2" x14ac:dyDescent="0.35">
      <c r="A27" s="5">
        <v>40204</v>
      </c>
      <c r="B27" s="2">
        <v>201001</v>
      </c>
    </row>
    <row r="28" spans="1:2" x14ac:dyDescent="0.35">
      <c r="A28" s="5">
        <v>40205</v>
      </c>
      <c r="B28" s="2">
        <v>201001</v>
      </c>
    </row>
    <row r="29" spans="1:2" x14ac:dyDescent="0.35">
      <c r="A29" s="5">
        <v>40206</v>
      </c>
      <c r="B29" s="2">
        <v>201001</v>
      </c>
    </row>
    <row r="30" spans="1:2" x14ac:dyDescent="0.35">
      <c r="A30" s="5">
        <v>40207</v>
      </c>
      <c r="B30" s="2">
        <v>201001</v>
      </c>
    </row>
    <row r="31" spans="1:2" x14ac:dyDescent="0.35">
      <c r="A31" s="5">
        <v>40208</v>
      </c>
      <c r="B31" s="2">
        <v>201001</v>
      </c>
    </row>
    <row r="32" spans="1:2" x14ac:dyDescent="0.35">
      <c r="A32" s="5">
        <v>40209</v>
      </c>
      <c r="B32" s="2">
        <v>201001</v>
      </c>
    </row>
    <row r="33" spans="1:2" x14ac:dyDescent="0.35">
      <c r="A33" s="5">
        <v>40210</v>
      </c>
      <c r="B33" s="2">
        <v>201002</v>
      </c>
    </row>
    <row r="34" spans="1:2" x14ac:dyDescent="0.35">
      <c r="A34" s="5">
        <v>40211</v>
      </c>
      <c r="B34" s="2">
        <v>201002</v>
      </c>
    </row>
    <row r="35" spans="1:2" x14ac:dyDescent="0.35">
      <c r="A35" s="5">
        <v>40212</v>
      </c>
      <c r="B35" s="2">
        <v>201002</v>
      </c>
    </row>
    <row r="36" spans="1:2" x14ac:dyDescent="0.35">
      <c r="A36" s="5">
        <v>40213</v>
      </c>
      <c r="B36" s="2">
        <v>201002</v>
      </c>
    </row>
    <row r="37" spans="1:2" x14ac:dyDescent="0.35">
      <c r="A37" s="5">
        <v>40214</v>
      </c>
      <c r="B37" s="2">
        <v>201002</v>
      </c>
    </row>
    <row r="38" spans="1:2" x14ac:dyDescent="0.35">
      <c r="A38" s="5">
        <v>40215</v>
      </c>
      <c r="B38" s="2">
        <v>201002</v>
      </c>
    </row>
    <row r="39" spans="1:2" x14ac:dyDescent="0.35">
      <c r="A39" s="5">
        <v>40216</v>
      </c>
      <c r="B39" s="2">
        <v>201002</v>
      </c>
    </row>
    <row r="40" spans="1:2" x14ac:dyDescent="0.35">
      <c r="A40" s="5">
        <v>40217</v>
      </c>
      <c r="B40" s="2">
        <v>201002</v>
      </c>
    </row>
    <row r="41" spans="1:2" x14ac:dyDescent="0.35">
      <c r="A41" s="5">
        <v>40218</v>
      </c>
      <c r="B41" s="2">
        <v>201002</v>
      </c>
    </row>
    <row r="42" spans="1:2" x14ac:dyDescent="0.35">
      <c r="A42" s="5">
        <v>40219</v>
      </c>
      <c r="B42" s="2">
        <v>201002</v>
      </c>
    </row>
    <row r="43" spans="1:2" x14ac:dyDescent="0.35">
      <c r="A43" s="5">
        <v>40220</v>
      </c>
      <c r="B43" s="2">
        <v>201002</v>
      </c>
    </row>
    <row r="44" spans="1:2" x14ac:dyDescent="0.35">
      <c r="A44" s="5">
        <v>40221</v>
      </c>
      <c r="B44" s="2">
        <v>201002</v>
      </c>
    </row>
    <row r="45" spans="1:2" x14ac:dyDescent="0.35">
      <c r="A45" s="5">
        <v>40222</v>
      </c>
      <c r="B45" s="2">
        <v>201002</v>
      </c>
    </row>
    <row r="46" spans="1:2" x14ac:dyDescent="0.35">
      <c r="A46" s="5">
        <v>40223</v>
      </c>
      <c r="B46" s="2">
        <v>201002</v>
      </c>
    </row>
    <row r="47" spans="1:2" x14ac:dyDescent="0.35">
      <c r="A47" s="5">
        <v>40224</v>
      </c>
      <c r="B47" s="2">
        <v>201002</v>
      </c>
    </row>
    <row r="48" spans="1:2" x14ac:dyDescent="0.35">
      <c r="A48" s="5">
        <v>40225</v>
      </c>
      <c r="B48" s="2">
        <v>201002</v>
      </c>
    </row>
    <row r="49" spans="1:2" x14ac:dyDescent="0.35">
      <c r="A49" s="5">
        <v>40226</v>
      </c>
      <c r="B49" s="2">
        <v>201002</v>
      </c>
    </row>
    <row r="50" spans="1:2" x14ac:dyDescent="0.35">
      <c r="A50" s="5">
        <v>40227</v>
      </c>
      <c r="B50" s="2">
        <v>201002</v>
      </c>
    </row>
    <row r="51" spans="1:2" x14ac:dyDescent="0.35">
      <c r="A51" s="5">
        <v>40228</v>
      </c>
      <c r="B51" s="2">
        <v>201002</v>
      </c>
    </row>
    <row r="52" spans="1:2" x14ac:dyDescent="0.35">
      <c r="A52" s="5">
        <v>40229</v>
      </c>
      <c r="B52" s="2">
        <v>201002</v>
      </c>
    </row>
    <row r="53" spans="1:2" x14ac:dyDescent="0.35">
      <c r="A53" s="5">
        <v>40230</v>
      </c>
      <c r="B53" s="2">
        <v>201002</v>
      </c>
    </row>
    <row r="54" spans="1:2" x14ac:dyDescent="0.35">
      <c r="A54" s="5">
        <v>40231</v>
      </c>
      <c r="B54" s="2">
        <v>201002</v>
      </c>
    </row>
    <row r="55" spans="1:2" x14ac:dyDescent="0.35">
      <c r="A55" s="5">
        <v>40232</v>
      </c>
      <c r="B55" s="2">
        <v>201002</v>
      </c>
    </row>
    <row r="56" spans="1:2" x14ac:dyDescent="0.35">
      <c r="A56" s="5">
        <v>40233</v>
      </c>
      <c r="B56" s="2">
        <v>201002</v>
      </c>
    </row>
    <row r="57" spans="1:2" x14ac:dyDescent="0.35">
      <c r="A57" s="5">
        <v>40234</v>
      </c>
      <c r="B57" s="2">
        <v>201002</v>
      </c>
    </row>
    <row r="58" spans="1:2" x14ac:dyDescent="0.35">
      <c r="A58" s="5">
        <v>40235</v>
      </c>
      <c r="B58" s="2">
        <v>201002</v>
      </c>
    </row>
    <row r="59" spans="1:2" x14ac:dyDescent="0.35">
      <c r="A59" s="5">
        <v>40236</v>
      </c>
      <c r="B59" s="2">
        <v>201002</v>
      </c>
    </row>
    <row r="60" spans="1:2" x14ac:dyDescent="0.35">
      <c r="A60" s="5">
        <v>40237</v>
      </c>
      <c r="B60" s="2">
        <v>201002</v>
      </c>
    </row>
    <row r="61" spans="1:2" x14ac:dyDescent="0.35">
      <c r="A61" s="5">
        <v>40238</v>
      </c>
      <c r="B61" s="2">
        <v>201003</v>
      </c>
    </row>
    <row r="62" spans="1:2" x14ac:dyDescent="0.35">
      <c r="A62" s="5">
        <v>40239</v>
      </c>
      <c r="B62" s="2">
        <v>201003</v>
      </c>
    </row>
    <row r="63" spans="1:2" x14ac:dyDescent="0.35">
      <c r="A63" s="5">
        <v>40240</v>
      </c>
      <c r="B63" s="2">
        <v>201003</v>
      </c>
    </row>
    <row r="64" spans="1:2" x14ac:dyDescent="0.35">
      <c r="A64" s="5">
        <v>40241</v>
      </c>
      <c r="B64" s="2">
        <v>201003</v>
      </c>
    </row>
    <row r="65" spans="1:2" x14ac:dyDescent="0.35">
      <c r="A65" s="5">
        <v>40242</v>
      </c>
      <c r="B65" s="2">
        <v>201003</v>
      </c>
    </row>
    <row r="66" spans="1:2" x14ac:dyDescent="0.35">
      <c r="A66" s="5">
        <v>40243</v>
      </c>
      <c r="B66" s="2">
        <v>201003</v>
      </c>
    </row>
    <row r="67" spans="1:2" x14ac:dyDescent="0.35">
      <c r="A67" s="5">
        <v>40244</v>
      </c>
      <c r="B67" s="2">
        <v>201003</v>
      </c>
    </row>
    <row r="68" spans="1:2" x14ac:dyDescent="0.35">
      <c r="A68" s="5">
        <v>40245</v>
      </c>
      <c r="B68" s="2">
        <v>201003</v>
      </c>
    </row>
    <row r="69" spans="1:2" x14ac:dyDescent="0.35">
      <c r="A69" s="5">
        <v>40246</v>
      </c>
      <c r="B69" s="2">
        <v>201003</v>
      </c>
    </row>
    <row r="70" spans="1:2" x14ac:dyDescent="0.35">
      <c r="A70" s="5">
        <v>40247</v>
      </c>
      <c r="B70" s="2">
        <v>201003</v>
      </c>
    </row>
    <row r="71" spans="1:2" x14ac:dyDescent="0.35">
      <c r="A71" s="5">
        <v>40248</v>
      </c>
      <c r="B71" s="2">
        <v>201003</v>
      </c>
    </row>
    <row r="72" spans="1:2" x14ac:dyDescent="0.35">
      <c r="A72" s="5">
        <v>40249</v>
      </c>
      <c r="B72" s="2">
        <v>201003</v>
      </c>
    </row>
    <row r="73" spans="1:2" x14ac:dyDescent="0.35">
      <c r="A73" s="5">
        <v>40250</v>
      </c>
      <c r="B73" s="2">
        <v>201003</v>
      </c>
    </row>
    <row r="74" spans="1:2" x14ac:dyDescent="0.35">
      <c r="A74" s="5">
        <v>40251</v>
      </c>
      <c r="B74" s="2">
        <v>201003</v>
      </c>
    </row>
    <row r="75" spans="1:2" x14ac:dyDescent="0.35">
      <c r="A75" s="5">
        <v>40252</v>
      </c>
      <c r="B75" s="2">
        <v>201003</v>
      </c>
    </row>
    <row r="76" spans="1:2" x14ac:dyDescent="0.35">
      <c r="A76" s="5">
        <v>40253</v>
      </c>
      <c r="B76" s="2">
        <v>201003</v>
      </c>
    </row>
    <row r="77" spans="1:2" x14ac:dyDescent="0.35">
      <c r="A77" s="5">
        <v>40254</v>
      </c>
      <c r="B77" s="2">
        <v>201003</v>
      </c>
    </row>
    <row r="78" spans="1:2" x14ac:dyDescent="0.35">
      <c r="A78" s="5">
        <v>40255</v>
      </c>
      <c r="B78" s="2">
        <v>201003</v>
      </c>
    </row>
    <row r="79" spans="1:2" x14ac:dyDescent="0.35">
      <c r="A79" s="5">
        <v>40256</v>
      </c>
      <c r="B79" s="2">
        <v>201003</v>
      </c>
    </row>
    <row r="80" spans="1:2" x14ac:dyDescent="0.35">
      <c r="A80" s="5">
        <v>40257</v>
      </c>
      <c r="B80" s="2">
        <v>201003</v>
      </c>
    </row>
    <row r="81" spans="1:2" x14ac:dyDescent="0.35">
      <c r="A81" s="5">
        <v>40258</v>
      </c>
      <c r="B81" s="2">
        <v>201003</v>
      </c>
    </row>
    <row r="82" spans="1:2" x14ac:dyDescent="0.35">
      <c r="A82" s="5">
        <v>40259</v>
      </c>
      <c r="B82" s="2">
        <v>201003</v>
      </c>
    </row>
    <row r="83" spans="1:2" x14ac:dyDescent="0.35">
      <c r="A83" s="5">
        <v>40260</v>
      </c>
      <c r="B83" s="2">
        <v>201003</v>
      </c>
    </row>
    <row r="84" spans="1:2" x14ac:dyDescent="0.35">
      <c r="A84" s="5">
        <v>40261</v>
      </c>
      <c r="B84" s="2">
        <v>201003</v>
      </c>
    </row>
    <row r="85" spans="1:2" x14ac:dyDescent="0.35">
      <c r="A85" s="5">
        <v>40262</v>
      </c>
      <c r="B85" s="2">
        <v>201003</v>
      </c>
    </row>
    <row r="86" spans="1:2" x14ac:dyDescent="0.35">
      <c r="A86" s="5">
        <v>40263</v>
      </c>
      <c r="B86" s="2">
        <v>201003</v>
      </c>
    </row>
    <row r="87" spans="1:2" x14ac:dyDescent="0.35">
      <c r="A87" s="5">
        <v>40264</v>
      </c>
      <c r="B87" s="2">
        <v>201003</v>
      </c>
    </row>
    <row r="88" spans="1:2" x14ac:dyDescent="0.35">
      <c r="A88" s="5">
        <v>40265</v>
      </c>
      <c r="B88" s="2">
        <v>201003</v>
      </c>
    </row>
    <row r="89" spans="1:2" x14ac:dyDescent="0.35">
      <c r="A89" s="5">
        <v>40266</v>
      </c>
      <c r="B89" s="2">
        <v>201003</v>
      </c>
    </row>
    <row r="90" spans="1:2" x14ac:dyDescent="0.35">
      <c r="A90" s="5">
        <v>40267</v>
      </c>
      <c r="B90" s="2">
        <v>201003</v>
      </c>
    </row>
    <row r="91" spans="1:2" x14ac:dyDescent="0.35">
      <c r="A91" s="5">
        <v>40268</v>
      </c>
      <c r="B91" s="2">
        <v>201003</v>
      </c>
    </row>
    <row r="92" spans="1:2" x14ac:dyDescent="0.35">
      <c r="A92" s="5">
        <v>40269</v>
      </c>
      <c r="B92" s="2">
        <v>201004</v>
      </c>
    </row>
    <row r="93" spans="1:2" x14ac:dyDescent="0.35">
      <c r="A93" s="5">
        <v>40270</v>
      </c>
      <c r="B93" s="2">
        <v>201004</v>
      </c>
    </row>
    <row r="94" spans="1:2" x14ac:dyDescent="0.35">
      <c r="A94" s="5">
        <v>40271</v>
      </c>
      <c r="B94" s="2">
        <v>201004</v>
      </c>
    </row>
    <row r="95" spans="1:2" x14ac:dyDescent="0.35">
      <c r="A95" s="5">
        <v>40272</v>
      </c>
      <c r="B95" s="2">
        <v>201004</v>
      </c>
    </row>
    <row r="96" spans="1:2" x14ac:dyDescent="0.35">
      <c r="A96" s="5">
        <v>40273</v>
      </c>
      <c r="B96" s="2">
        <v>201004</v>
      </c>
    </row>
    <row r="97" spans="1:2" x14ac:dyDescent="0.35">
      <c r="A97" s="5">
        <v>40274</v>
      </c>
      <c r="B97" s="2">
        <v>201004</v>
      </c>
    </row>
    <row r="98" spans="1:2" x14ac:dyDescent="0.35">
      <c r="A98" s="5">
        <v>40275</v>
      </c>
      <c r="B98" s="2">
        <v>201004</v>
      </c>
    </row>
    <row r="99" spans="1:2" x14ac:dyDescent="0.35">
      <c r="A99" s="5">
        <v>40276</v>
      </c>
      <c r="B99" s="2">
        <v>201004</v>
      </c>
    </row>
    <row r="100" spans="1:2" x14ac:dyDescent="0.35">
      <c r="A100" s="5">
        <v>40277</v>
      </c>
      <c r="B100" s="2">
        <v>201004</v>
      </c>
    </row>
    <row r="101" spans="1:2" x14ac:dyDescent="0.35">
      <c r="A101" s="5">
        <v>40278</v>
      </c>
      <c r="B101" s="2">
        <v>201004</v>
      </c>
    </row>
    <row r="102" spans="1:2" x14ac:dyDescent="0.35">
      <c r="A102" s="5">
        <v>40279</v>
      </c>
      <c r="B102" s="2">
        <v>201004</v>
      </c>
    </row>
    <row r="103" spans="1:2" x14ac:dyDescent="0.35">
      <c r="A103" s="5">
        <v>40280</v>
      </c>
      <c r="B103" s="2">
        <v>201004</v>
      </c>
    </row>
    <row r="104" spans="1:2" x14ac:dyDescent="0.35">
      <c r="A104" s="5">
        <v>40281</v>
      </c>
      <c r="B104" s="2">
        <v>201004</v>
      </c>
    </row>
    <row r="105" spans="1:2" x14ac:dyDescent="0.35">
      <c r="A105" s="5">
        <v>40282</v>
      </c>
      <c r="B105" s="2">
        <v>201004</v>
      </c>
    </row>
    <row r="106" spans="1:2" x14ac:dyDescent="0.35">
      <c r="A106" s="5">
        <v>40283</v>
      </c>
      <c r="B106" s="2">
        <v>201004</v>
      </c>
    </row>
    <row r="107" spans="1:2" x14ac:dyDescent="0.35">
      <c r="A107" s="5">
        <v>40284</v>
      </c>
      <c r="B107" s="2">
        <v>201004</v>
      </c>
    </row>
    <row r="108" spans="1:2" x14ac:dyDescent="0.35">
      <c r="A108" s="5">
        <v>40285</v>
      </c>
      <c r="B108" s="2">
        <v>201004</v>
      </c>
    </row>
    <row r="109" spans="1:2" x14ac:dyDescent="0.35">
      <c r="A109" s="5">
        <v>40286</v>
      </c>
      <c r="B109" s="2">
        <v>201004</v>
      </c>
    </row>
    <row r="110" spans="1:2" x14ac:dyDescent="0.35">
      <c r="A110" s="5">
        <v>40287</v>
      </c>
      <c r="B110" s="2">
        <v>201004</v>
      </c>
    </row>
    <row r="111" spans="1:2" x14ac:dyDescent="0.35">
      <c r="A111" s="5">
        <v>40288</v>
      </c>
      <c r="B111" s="2">
        <v>201004</v>
      </c>
    </row>
    <row r="112" spans="1:2" x14ac:dyDescent="0.35">
      <c r="A112" s="5">
        <v>40289</v>
      </c>
      <c r="B112" s="2">
        <v>201004</v>
      </c>
    </row>
    <row r="113" spans="1:2" x14ac:dyDescent="0.35">
      <c r="A113" s="5">
        <v>40290</v>
      </c>
      <c r="B113" s="2">
        <v>201004</v>
      </c>
    </row>
    <row r="114" spans="1:2" x14ac:dyDescent="0.35">
      <c r="A114" s="5">
        <v>40291</v>
      </c>
      <c r="B114" s="2">
        <v>201004</v>
      </c>
    </row>
    <row r="115" spans="1:2" x14ac:dyDescent="0.35">
      <c r="A115" s="5">
        <v>40292</v>
      </c>
      <c r="B115" s="2">
        <v>201004</v>
      </c>
    </row>
    <row r="116" spans="1:2" x14ac:dyDescent="0.35">
      <c r="A116" s="5">
        <v>40293</v>
      </c>
      <c r="B116" s="2">
        <v>201004</v>
      </c>
    </row>
    <row r="117" spans="1:2" x14ac:dyDescent="0.35">
      <c r="A117" s="5">
        <v>40294</v>
      </c>
      <c r="B117" s="2">
        <v>201004</v>
      </c>
    </row>
    <row r="118" spans="1:2" x14ac:dyDescent="0.35">
      <c r="A118" s="5">
        <v>40295</v>
      </c>
      <c r="B118" s="2">
        <v>201004</v>
      </c>
    </row>
    <row r="119" spans="1:2" x14ac:dyDescent="0.35">
      <c r="A119" s="5">
        <v>40296</v>
      </c>
      <c r="B119" s="2">
        <v>201004</v>
      </c>
    </row>
    <row r="120" spans="1:2" x14ac:dyDescent="0.35">
      <c r="A120" s="5">
        <v>40297</v>
      </c>
      <c r="B120" s="2">
        <v>201004</v>
      </c>
    </row>
    <row r="121" spans="1:2" x14ac:dyDescent="0.35">
      <c r="A121" s="5">
        <v>40298</v>
      </c>
      <c r="B121" s="2">
        <v>201004</v>
      </c>
    </row>
    <row r="122" spans="1:2" x14ac:dyDescent="0.35">
      <c r="A122" s="5">
        <v>40299</v>
      </c>
      <c r="B122" s="2">
        <v>201005</v>
      </c>
    </row>
    <row r="123" spans="1:2" x14ac:dyDescent="0.35">
      <c r="A123" s="5">
        <v>40300</v>
      </c>
      <c r="B123" s="2">
        <v>201005</v>
      </c>
    </row>
    <row r="124" spans="1:2" x14ac:dyDescent="0.35">
      <c r="A124" s="5">
        <v>40301</v>
      </c>
      <c r="B124" s="2">
        <v>201005</v>
      </c>
    </row>
    <row r="125" spans="1:2" x14ac:dyDescent="0.35">
      <c r="A125" s="5">
        <v>40302</v>
      </c>
      <c r="B125" s="2">
        <v>201005</v>
      </c>
    </row>
    <row r="126" spans="1:2" x14ac:dyDescent="0.35">
      <c r="A126" s="5">
        <v>40303</v>
      </c>
      <c r="B126" s="2">
        <v>201005</v>
      </c>
    </row>
    <row r="127" spans="1:2" x14ac:dyDescent="0.35">
      <c r="A127" s="5">
        <v>40304</v>
      </c>
      <c r="B127" s="2">
        <v>201005</v>
      </c>
    </row>
    <row r="128" spans="1:2" x14ac:dyDescent="0.35">
      <c r="A128" s="5">
        <v>40305</v>
      </c>
      <c r="B128" s="2">
        <v>201005</v>
      </c>
    </row>
    <row r="129" spans="1:2" x14ac:dyDescent="0.35">
      <c r="A129" s="5">
        <v>40306</v>
      </c>
      <c r="B129" s="2">
        <v>201005</v>
      </c>
    </row>
    <row r="130" spans="1:2" x14ac:dyDescent="0.35">
      <c r="A130" s="5">
        <v>40307</v>
      </c>
      <c r="B130" s="2">
        <v>201005</v>
      </c>
    </row>
    <row r="131" spans="1:2" x14ac:dyDescent="0.35">
      <c r="A131" s="5">
        <v>40308</v>
      </c>
      <c r="B131" s="2">
        <v>201005</v>
      </c>
    </row>
    <row r="132" spans="1:2" x14ac:dyDescent="0.35">
      <c r="A132" s="5">
        <v>40309</v>
      </c>
      <c r="B132" s="2">
        <v>201005</v>
      </c>
    </row>
    <row r="133" spans="1:2" x14ac:dyDescent="0.35">
      <c r="A133" s="5">
        <v>40310</v>
      </c>
      <c r="B133" s="2">
        <v>201005</v>
      </c>
    </row>
    <row r="134" spans="1:2" x14ac:dyDescent="0.35">
      <c r="A134" s="5">
        <v>40311</v>
      </c>
      <c r="B134" s="2">
        <v>201005</v>
      </c>
    </row>
    <row r="135" spans="1:2" x14ac:dyDescent="0.35">
      <c r="A135" s="5">
        <v>40312</v>
      </c>
      <c r="B135" s="2">
        <v>201005</v>
      </c>
    </row>
    <row r="136" spans="1:2" x14ac:dyDescent="0.35">
      <c r="A136" s="5">
        <v>40313</v>
      </c>
      <c r="B136" s="2">
        <v>201005</v>
      </c>
    </row>
    <row r="137" spans="1:2" x14ac:dyDescent="0.35">
      <c r="A137" s="5">
        <v>40314</v>
      </c>
      <c r="B137" s="2">
        <v>201005</v>
      </c>
    </row>
    <row r="138" spans="1:2" x14ac:dyDescent="0.35">
      <c r="A138" s="5">
        <v>40315</v>
      </c>
      <c r="B138" s="2">
        <v>201005</v>
      </c>
    </row>
    <row r="139" spans="1:2" x14ac:dyDescent="0.35">
      <c r="A139" s="5">
        <v>40316</v>
      </c>
      <c r="B139" s="2">
        <v>201005</v>
      </c>
    </row>
    <row r="140" spans="1:2" x14ac:dyDescent="0.35">
      <c r="A140" s="5">
        <v>40317</v>
      </c>
      <c r="B140" s="2">
        <v>201005</v>
      </c>
    </row>
    <row r="141" spans="1:2" x14ac:dyDescent="0.35">
      <c r="A141" s="5">
        <v>40318</v>
      </c>
      <c r="B141" s="2">
        <v>201005</v>
      </c>
    </row>
    <row r="142" spans="1:2" x14ac:dyDescent="0.35">
      <c r="A142" s="5">
        <v>40319</v>
      </c>
      <c r="B142" s="2">
        <v>201005</v>
      </c>
    </row>
    <row r="143" spans="1:2" x14ac:dyDescent="0.35">
      <c r="A143" s="5">
        <v>40320</v>
      </c>
      <c r="B143" s="2">
        <v>201005</v>
      </c>
    </row>
    <row r="144" spans="1:2" x14ac:dyDescent="0.35">
      <c r="A144" s="5">
        <v>40321</v>
      </c>
      <c r="B144" s="2">
        <v>201005</v>
      </c>
    </row>
    <row r="145" spans="1:2" x14ac:dyDescent="0.35">
      <c r="A145" s="5">
        <v>40322</v>
      </c>
      <c r="B145" s="2">
        <v>201005</v>
      </c>
    </row>
    <row r="146" spans="1:2" x14ac:dyDescent="0.35">
      <c r="A146" s="5">
        <v>40323</v>
      </c>
      <c r="B146" s="2">
        <v>201005</v>
      </c>
    </row>
    <row r="147" spans="1:2" x14ac:dyDescent="0.35">
      <c r="A147" s="5">
        <v>40324</v>
      </c>
      <c r="B147" s="2">
        <v>201005</v>
      </c>
    </row>
    <row r="148" spans="1:2" x14ac:dyDescent="0.35">
      <c r="A148" s="5">
        <v>40325</v>
      </c>
      <c r="B148" s="2">
        <v>201005</v>
      </c>
    </row>
    <row r="149" spans="1:2" x14ac:dyDescent="0.35">
      <c r="A149" s="5">
        <v>40326</v>
      </c>
      <c r="B149" s="2">
        <v>201005</v>
      </c>
    </row>
    <row r="150" spans="1:2" x14ac:dyDescent="0.35">
      <c r="A150" s="5">
        <v>40327</v>
      </c>
      <c r="B150" s="2">
        <v>201005</v>
      </c>
    </row>
    <row r="151" spans="1:2" x14ac:dyDescent="0.35">
      <c r="A151" s="5">
        <v>40328</v>
      </c>
      <c r="B151" s="2">
        <v>201005</v>
      </c>
    </row>
    <row r="152" spans="1:2" x14ac:dyDescent="0.35">
      <c r="A152" s="5">
        <v>40329</v>
      </c>
      <c r="B152" s="2">
        <v>201005</v>
      </c>
    </row>
    <row r="153" spans="1:2" x14ac:dyDescent="0.35">
      <c r="A153" s="5">
        <v>40330</v>
      </c>
      <c r="B153" s="2">
        <v>201006</v>
      </c>
    </row>
    <row r="154" spans="1:2" x14ac:dyDescent="0.35">
      <c r="A154" s="5">
        <v>40331</v>
      </c>
      <c r="B154" s="2">
        <v>201006</v>
      </c>
    </row>
    <row r="155" spans="1:2" x14ac:dyDescent="0.35">
      <c r="A155" s="5">
        <v>40332</v>
      </c>
      <c r="B155" s="2">
        <v>201006</v>
      </c>
    </row>
    <row r="156" spans="1:2" x14ac:dyDescent="0.35">
      <c r="A156" s="5">
        <v>40333</v>
      </c>
      <c r="B156" s="2">
        <v>201006</v>
      </c>
    </row>
    <row r="157" spans="1:2" x14ac:dyDescent="0.35">
      <c r="A157" s="5">
        <v>40334</v>
      </c>
      <c r="B157" s="2">
        <v>201006</v>
      </c>
    </row>
    <row r="158" spans="1:2" x14ac:dyDescent="0.35">
      <c r="A158" s="5">
        <v>40335</v>
      </c>
      <c r="B158" s="2">
        <v>201006</v>
      </c>
    </row>
    <row r="159" spans="1:2" x14ac:dyDescent="0.35">
      <c r="A159" s="5">
        <v>40336</v>
      </c>
      <c r="B159" s="2">
        <v>201006</v>
      </c>
    </row>
    <row r="160" spans="1:2" x14ac:dyDescent="0.35">
      <c r="A160" s="5">
        <v>40337</v>
      </c>
      <c r="B160" s="2">
        <v>201006</v>
      </c>
    </row>
    <row r="161" spans="1:2" x14ac:dyDescent="0.35">
      <c r="A161" s="5">
        <v>40338</v>
      </c>
      <c r="B161" s="2">
        <v>201006</v>
      </c>
    </row>
    <row r="162" spans="1:2" x14ac:dyDescent="0.35">
      <c r="A162" s="5">
        <v>40339</v>
      </c>
      <c r="B162" s="2">
        <v>201006</v>
      </c>
    </row>
    <row r="163" spans="1:2" x14ac:dyDescent="0.35">
      <c r="A163" s="5">
        <v>40340</v>
      </c>
      <c r="B163" s="2">
        <v>201006</v>
      </c>
    </row>
    <row r="164" spans="1:2" x14ac:dyDescent="0.35">
      <c r="A164" s="5">
        <v>40341</v>
      </c>
      <c r="B164" s="2">
        <v>201006</v>
      </c>
    </row>
    <row r="165" spans="1:2" x14ac:dyDescent="0.35">
      <c r="A165" s="5">
        <v>40342</v>
      </c>
      <c r="B165" s="2">
        <v>201006</v>
      </c>
    </row>
    <row r="166" spans="1:2" x14ac:dyDescent="0.35">
      <c r="A166" s="5">
        <v>40343</v>
      </c>
      <c r="B166" s="2">
        <v>201006</v>
      </c>
    </row>
    <row r="167" spans="1:2" x14ac:dyDescent="0.35">
      <c r="A167" s="5">
        <v>40344</v>
      </c>
      <c r="B167" s="2">
        <v>201006</v>
      </c>
    </row>
    <row r="168" spans="1:2" x14ac:dyDescent="0.35">
      <c r="A168" s="5">
        <v>40345</v>
      </c>
      <c r="B168" s="2">
        <v>201006</v>
      </c>
    </row>
    <row r="169" spans="1:2" x14ac:dyDescent="0.35">
      <c r="A169" s="5">
        <v>40346</v>
      </c>
      <c r="B169" s="2">
        <v>201006</v>
      </c>
    </row>
    <row r="170" spans="1:2" x14ac:dyDescent="0.35">
      <c r="A170" s="5">
        <v>40347</v>
      </c>
      <c r="B170" s="2">
        <v>201006</v>
      </c>
    </row>
    <row r="171" spans="1:2" x14ac:dyDescent="0.35">
      <c r="A171" s="5">
        <v>40348</v>
      </c>
      <c r="B171" s="2">
        <v>201006</v>
      </c>
    </row>
    <row r="172" spans="1:2" x14ac:dyDescent="0.35">
      <c r="A172" s="5">
        <v>40349</v>
      </c>
      <c r="B172" s="2">
        <v>201006</v>
      </c>
    </row>
    <row r="173" spans="1:2" x14ac:dyDescent="0.35">
      <c r="A173" s="5">
        <v>40350</v>
      </c>
      <c r="B173" s="2">
        <v>201006</v>
      </c>
    </row>
    <row r="174" spans="1:2" x14ac:dyDescent="0.35">
      <c r="A174" s="5">
        <v>40351</v>
      </c>
      <c r="B174" s="2">
        <v>201006</v>
      </c>
    </row>
    <row r="175" spans="1:2" x14ac:dyDescent="0.35">
      <c r="A175" s="5">
        <v>40352</v>
      </c>
      <c r="B175" s="2">
        <v>201006</v>
      </c>
    </row>
    <row r="176" spans="1:2" x14ac:dyDescent="0.35">
      <c r="A176" s="5">
        <v>40353</v>
      </c>
      <c r="B176" s="2">
        <v>201006</v>
      </c>
    </row>
    <row r="177" spans="1:2" x14ac:dyDescent="0.35">
      <c r="A177" s="5">
        <v>40354</v>
      </c>
      <c r="B177" s="2">
        <v>201006</v>
      </c>
    </row>
    <row r="178" spans="1:2" x14ac:dyDescent="0.35">
      <c r="A178" s="5">
        <v>40355</v>
      </c>
      <c r="B178" s="2">
        <v>201006</v>
      </c>
    </row>
    <row r="179" spans="1:2" x14ac:dyDescent="0.35">
      <c r="A179" s="5">
        <v>40356</v>
      </c>
      <c r="B179" s="2">
        <v>201006</v>
      </c>
    </row>
    <row r="180" spans="1:2" x14ac:dyDescent="0.35">
      <c r="A180" s="5">
        <v>40357</v>
      </c>
      <c r="B180" s="2">
        <v>201006</v>
      </c>
    </row>
    <row r="181" spans="1:2" x14ac:dyDescent="0.35">
      <c r="A181" s="5">
        <v>40358</v>
      </c>
      <c r="B181" s="2">
        <v>201006</v>
      </c>
    </row>
    <row r="182" spans="1:2" x14ac:dyDescent="0.35">
      <c r="A182" s="5">
        <v>40359</v>
      </c>
      <c r="B182" s="2">
        <v>201006</v>
      </c>
    </row>
    <row r="183" spans="1:2" x14ac:dyDescent="0.35">
      <c r="A183" s="5">
        <v>40360</v>
      </c>
      <c r="B183" s="2">
        <v>201007</v>
      </c>
    </row>
    <row r="184" spans="1:2" x14ac:dyDescent="0.35">
      <c r="A184" s="5">
        <v>40361</v>
      </c>
      <c r="B184" s="2">
        <v>201007</v>
      </c>
    </row>
    <row r="185" spans="1:2" x14ac:dyDescent="0.35">
      <c r="A185" s="5">
        <v>40362</v>
      </c>
      <c r="B185" s="2">
        <v>201007</v>
      </c>
    </row>
    <row r="186" spans="1:2" x14ac:dyDescent="0.35">
      <c r="A186" s="5">
        <v>40363</v>
      </c>
      <c r="B186" s="2">
        <v>201007</v>
      </c>
    </row>
    <row r="187" spans="1:2" x14ac:dyDescent="0.35">
      <c r="A187" s="5">
        <v>40364</v>
      </c>
      <c r="B187" s="2">
        <v>201007</v>
      </c>
    </row>
    <row r="188" spans="1:2" x14ac:dyDescent="0.35">
      <c r="A188" s="5">
        <v>40365</v>
      </c>
      <c r="B188" s="2">
        <v>201007</v>
      </c>
    </row>
    <row r="189" spans="1:2" x14ac:dyDescent="0.35">
      <c r="A189" s="5">
        <v>40366</v>
      </c>
      <c r="B189" s="2">
        <v>201007</v>
      </c>
    </row>
    <row r="190" spans="1:2" x14ac:dyDescent="0.35">
      <c r="A190" s="5">
        <v>40367</v>
      </c>
      <c r="B190" s="2">
        <v>201007</v>
      </c>
    </row>
    <row r="191" spans="1:2" x14ac:dyDescent="0.35">
      <c r="A191" s="5">
        <v>40368</v>
      </c>
      <c r="B191" s="2">
        <v>201007</v>
      </c>
    </row>
    <row r="192" spans="1:2" x14ac:dyDescent="0.35">
      <c r="A192" s="5">
        <v>40369</v>
      </c>
      <c r="B192" s="2">
        <v>201007</v>
      </c>
    </row>
    <row r="193" spans="1:2" x14ac:dyDescent="0.35">
      <c r="A193" s="5">
        <v>40370</v>
      </c>
      <c r="B193" s="2">
        <v>201007</v>
      </c>
    </row>
    <row r="194" spans="1:2" x14ac:dyDescent="0.35">
      <c r="A194" s="5">
        <v>40371</v>
      </c>
      <c r="B194" s="2">
        <v>201007</v>
      </c>
    </row>
    <row r="195" spans="1:2" x14ac:dyDescent="0.35">
      <c r="A195" s="5">
        <v>40372</v>
      </c>
      <c r="B195" s="2">
        <v>201007</v>
      </c>
    </row>
    <row r="196" spans="1:2" x14ac:dyDescent="0.35">
      <c r="A196" s="5">
        <v>40373</v>
      </c>
      <c r="B196" s="2">
        <v>201007</v>
      </c>
    </row>
    <row r="197" spans="1:2" x14ac:dyDescent="0.35">
      <c r="A197" s="5">
        <v>40374</v>
      </c>
      <c r="B197" s="2">
        <v>201007</v>
      </c>
    </row>
    <row r="198" spans="1:2" x14ac:dyDescent="0.35">
      <c r="A198" s="5">
        <v>40375</v>
      </c>
      <c r="B198" s="2">
        <v>201007</v>
      </c>
    </row>
    <row r="199" spans="1:2" x14ac:dyDescent="0.35">
      <c r="A199" s="5">
        <v>40376</v>
      </c>
      <c r="B199" s="2">
        <v>201007</v>
      </c>
    </row>
    <row r="200" spans="1:2" x14ac:dyDescent="0.35">
      <c r="A200" s="5">
        <v>40377</v>
      </c>
      <c r="B200" s="2">
        <v>201007</v>
      </c>
    </row>
    <row r="201" spans="1:2" x14ac:dyDescent="0.35">
      <c r="A201" s="5">
        <v>40378</v>
      </c>
      <c r="B201" s="2">
        <v>201007</v>
      </c>
    </row>
    <row r="202" spans="1:2" x14ac:dyDescent="0.35">
      <c r="A202" s="5">
        <v>40379</v>
      </c>
      <c r="B202" s="2">
        <v>201007</v>
      </c>
    </row>
    <row r="203" spans="1:2" x14ac:dyDescent="0.35">
      <c r="A203" s="5">
        <v>40380</v>
      </c>
      <c r="B203" s="2">
        <v>201007</v>
      </c>
    </row>
    <row r="204" spans="1:2" x14ac:dyDescent="0.35">
      <c r="A204" s="5">
        <v>40381</v>
      </c>
      <c r="B204" s="2">
        <v>201007</v>
      </c>
    </row>
    <row r="205" spans="1:2" x14ac:dyDescent="0.35">
      <c r="A205" s="5">
        <v>40382</v>
      </c>
      <c r="B205" s="2">
        <v>201007</v>
      </c>
    </row>
    <row r="206" spans="1:2" x14ac:dyDescent="0.35">
      <c r="A206" s="5">
        <v>40383</v>
      </c>
      <c r="B206" s="2">
        <v>201007</v>
      </c>
    </row>
    <row r="207" spans="1:2" x14ac:dyDescent="0.35">
      <c r="A207" s="5">
        <v>40384</v>
      </c>
      <c r="B207" s="2">
        <v>201007</v>
      </c>
    </row>
    <row r="208" spans="1:2" x14ac:dyDescent="0.35">
      <c r="A208" s="5">
        <v>40385</v>
      </c>
      <c r="B208" s="2">
        <v>201007</v>
      </c>
    </row>
    <row r="209" spans="1:2" x14ac:dyDescent="0.35">
      <c r="A209" s="5">
        <v>40386</v>
      </c>
      <c r="B209" s="2">
        <v>201007</v>
      </c>
    </row>
    <row r="210" spans="1:2" x14ac:dyDescent="0.35">
      <c r="A210" s="5">
        <v>40387</v>
      </c>
      <c r="B210" s="2">
        <v>201007</v>
      </c>
    </row>
    <row r="211" spans="1:2" x14ac:dyDescent="0.35">
      <c r="A211" s="5">
        <v>40388</v>
      </c>
      <c r="B211" s="2">
        <v>201007</v>
      </c>
    </row>
    <row r="212" spans="1:2" x14ac:dyDescent="0.35">
      <c r="A212" s="5">
        <v>40389</v>
      </c>
      <c r="B212" s="2">
        <v>201007</v>
      </c>
    </row>
    <row r="213" spans="1:2" x14ac:dyDescent="0.35">
      <c r="A213" s="5">
        <v>40390</v>
      </c>
      <c r="B213" s="2">
        <v>201007</v>
      </c>
    </row>
    <row r="214" spans="1:2" x14ac:dyDescent="0.35">
      <c r="A214" s="5">
        <v>40391</v>
      </c>
      <c r="B214" s="2">
        <v>201008</v>
      </c>
    </row>
    <row r="215" spans="1:2" x14ac:dyDescent="0.35">
      <c r="A215" s="5">
        <v>40392</v>
      </c>
      <c r="B215" s="2">
        <v>201008</v>
      </c>
    </row>
    <row r="216" spans="1:2" x14ac:dyDescent="0.35">
      <c r="A216" s="5">
        <v>40393</v>
      </c>
      <c r="B216" s="2">
        <v>201008</v>
      </c>
    </row>
    <row r="217" spans="1:2" x14ac:dyDescent="0.35">
      <c r="A217" s="5">
        <v>40394</v>
      </c>
      <c r="B217" s="2">
        <v>201008</v>
      </c>
    </row>
    <row r="218" spans="1:2" x14ac:dyDescent="0.35">
      <c r="A218" s="5">
        <v>40395</v>
      </c>
      <c r="B218" s="2">
        <v>201008</v>
      </c>
    </row>
    <row r="219" spans="1:2" x14ac:dyDescent="0.35">
      <c r="A219" s="5">
        <v>40396</v>
      </c>
      <c r="B219" s="2">
        <v>201008</v>
      </c>
    </row>
    <row r="220" spans="1:2" x14ac:dyDescent="0.35">
      <c r="A220" s="5">
        <v>40397</v>
      </c>
      <c r="B220" s="2">
        <v>201008</v>
      </c>
    </row>
    <row r="221" spans="1:2" x14ac:dyDescent="0.35">
      <c r="A221" s="5">
        <v>40398</v>
      </c>
      <c r="B221" s="2">
        <v>201008</v>
      </c>
    </row>
    <row r="222" spans="1:2" x14ac:dyDescent="0.35">
      <c r="A222" s="5">
        <v>40399</v>
      </c>
      <c r="B222" s="2">
        <v>201008</v>
      </c>
    </row>
    <row r="223" spans="1:2" x14ac:dyDescent="0.35">
      <c r="A223" s="5">
        <v>40400</v>
      </c>
      <c r="B223" s="2">
        <v>201008</v>
      </c>
    </row>
    <row r="224" spans="1:2" x14ac:dyDescent="0.35">
      <c r="A224" s="5">
        <v>40401</v>
      </c>
      <c r="B224" s="2">
        <v>201008</v>
      </c>
    </row>
    <row r="225" spans="1:2" x14ac:dyDescent="0.35">
      <c r="A225" s="5">
        <v>40402</v>
      </c>
      <c r="B225" s="2">
        <v>201008</v>
      </c>
    </row>
    <row r="226" spans="1:2" x14ac:dyDescent="0.35">
      <c r="A226" s="5">
        <v>40403</v>
      </c>
      <c r="B226" s="2">
        <v>201008</v>
      </c>
    </row>
    <row r="227" spans="1:2" x14ac:dyDescent="0.35">
      <c r="A227" s="5">
        <v>40404</v>
      </c>
      <c r="B227" s="2">
        <v>201008</v>
      </c>
    </row>
    <row r="228" spans="1:2" x14ac:dyDescent="0.35">
      <c r="A228" s="5">
        <v>40405</v>
      </c>
      <c r="B228" s="2">
        <v>201008</v>
      </c>
    </row>
    <row r="229" spans="1:2" x14ac:dyDescent="0.35">
      <c r="A229" s="5">
        <v>40406</v>
      </c>
      <c r="B229" s="2">
        <v>201008</v>
      </c>
    </row>
    <row r="230" spans="1:2" x14ac:dyDescent="0.35">
      <c r="A230" s="5">
        <v>40407</v>
      </c>
      <c r="B230" s="2">
        <v>201008</v>
      </c>
    </row>
    <row r="231" spans="1:2" x14ac:dyDescent="0.35">
      <c r="A231" s="5">
        <v>40408</v>
      </c>
      <c r="B231" s="2">
        <v>201008</v>
      </c>
    </row>
    <row r="232" spans="1:2" x14ac:dyDescent="0.35">
      <c r="A232" s="5">
        <v>40409</v>
      </c>
      <c r="B232" s="2">
        <v>201008</v>
      </c>
    </row>
    <row r="233" spans="1:2" x14ac:dyDescent="0.35">
      <c r="A233" s="5">
        <v>40410</v>
      </c>
      <c r="B233" s="2">
        <v>201008</v>
      </c>
    </row>
    <row r="234" spans="1:2" x14ac:dyDescent="0.35">
      <c r="A234" s="5">
        <v>40411</v>
      </c>
      <c r="B234" s="2">
        <v>201008</v>
      </c>
    </row>
    <row r="235" spans="1:2" x14ac:dyDescent="0.35">
      <c r="A235" s="5">
        <v>40412</v>
      </c>
      <c r="B235" s="2">
        <v>201008</v>
      </c>
    </row>
    <row r="236" spans="1:2" x14ac:dyDescent="0.35">
      <c r="A236" s="5">
        <v>40413</v>
      </c>
      <c r="B236" s="2">
        <v>201008</v>
      </c>
    </row>
    <row r="237" spans="1:2" x14ac:dyDescent="0.35">
      <c r="A237" s="5">
        <v>40414</v>
      </c>
      <c r="B237" s="2">
        <v>201008</v>
      </c>
    </row>
    <row r="238" spans="1:2" x14ac:dyDescent="0.35">
      <c r="A238" s="5">
        <v>40415</v>
      </c>
      <c r="B238" s="2">
        <v>201008</v>
      </c>
    </row>
    <row r="239" spans="1:2" x14ac:dyDescent="0.35">
      <c r="A239" s="5">
        <v>40416</v>
      </c>
      <c r="B239" s="2">
        <v>201008</v>
      </c>
    </row>
    <row r="240" spans="1:2" x14ac:dyDescent="0.35">
      <c r="A240" s="5">
        <v>40417</v>
      </c>
      <c r="B240" s="2">
        <v>201008</v>
      </c>
    </row>
    <row r="241" spans="1:2" x14ac:dyDescent="0.35">
      <c r="A241" s="5">
        <v>40418</v>
      </c>
      <c r="B241" s="2">
        <v>201008</v>
      </c>
    </row>
    <row r="242" spans="1:2" x14ac:dyDescent="0.35">
      <c r="A242" s="5">
        <v>40419</v>
      </c>
      <c r="B242" s="2">
        <v>201008</v>
      </c>
    </row>
    <row r="243" spans="1:2" x14ac:dyDescent="0.35">
      <c r="A243" s="5">
        <v>40420</v>
      </c>
      <c r="B243" s="2">
        <v>201008</v>
      </c>
    </row>
    <row r="244" spans="1:2" x14ac:dyDescent="0.35">
      <c r="A244" s="5">
        <v>40421</v>
      </c>
      <c r="B244" s="2">
        <v>201008</v>
      </c>
    </row>
    <row r="245" spans="1:2" x14ac:dyDescent="0.35">
      <c r="A245" s="5">
        <v>40422</v>
      </c>
      <c r="B245" s="2">
        <v>201009</v>
      </c>
    </row>
    <row r="246" spans="1:2" x14ac:dyDescent="0.35">
      <c r="A246" s="5">
        <v>40423</v>
      </c>
      <c r="B246" s="2">
        <v>201009</v>
      </c>
    </row>
    <row r="247" spans="1:2" x14ac:dyDescent="0.35">
      <c r="A247" s="5">
        <v>40424</v>
      </c>
      <c r="B247" s="2">
        <v>201009</v>
      </c>
    </row>
    <row r="248" spans="1:2" x14ac:dyDescent="0.35">
      <c r="A248" s="5">
        <v>40425</v>
      </c>
      <c r="B248" s="2">
        <v>201009</v>
      </c>
    </row>
    <row r="249" spans="1:2" x14ac:dyDescent="0.35">
      <c r="A249" s="5">
        <v>40426</v>
      </c>
      <c r="B249" s="2">
        <v>201009</v>
      </c>
    </row>
    <row r="250" spans="1:2" x14ac:dyDescent="0.35">
      <c r="A250" s="5">
        <v>40427</v>
      </c>
      <c r="B250" s="2">
        <v>201009</v>
      </c>
    </row>
    <row r="251" spans="1:2" x14ac:dyDescent="0.35">
      <c r="A251" s="5">
        <v>40428</v>
      </c>
      <c r="B251" s="2">
        <v>201009</v>
      </c>
    </row>
    <row r="252" spans="1:2" x14ac:dyDescent="0.35">
      <c r="A252" s="5">
        <v>40429</v>
      </c>
      <c r="B252" s="2">
        <v>201009</v>
      </c>
    </row>
    <row r="253" spans="1:2" x14ac:dyDescent="0.35">
      <c r="A253" s="5">
        <v>40430</v>
      </c>
      <c r="B253" s="2">
        <v>201009</v>
      </c>
    </row>
    <row r="254" spans="1:2" x14ac:dyDescent="0.35">
      <c r="A254" s="5">
        <v>40431</v>
      </c>
      <c r="B254" s="2">
        <v>201009</v>
      </c>
    </row>
    <row r="255" spans="1:2" x14ac:dyDescent="0.35">
      <c r="A255" s="5">
        <v>40432</v>
      </c>
      <c r="B255" s="2">
        <v>201009</v>
      </c>
    </row>
    <row r="256" spans="1:2" x14ac:dyDescent="0.35">
      <c r="A256" s="5">
        <v>40433</v>
      </c>
      <c r="B256" s="2">
        <v>201009</v>
      </c>
    </row>
    <row r="257" spans="1:2" x14ac:dyDescent="0.35">
      <c r="A257" s="5">
        <v>40434</v>
      </c>
      <c r="B257" s="2">
        <v>201009</v>
      </c>
    </row>
    <row r="258" spans="1:2" x14ac:dyDescent="0.35">
      <c r="A258" s="5">
        <v>40435</v>
      </c>
      <c r="B258" s="2">
        <v>201009</v>
      </c>
    </row>
    <row r="259" spans="1:2" x14ac:dyDescent="0.35">
      <c r="A259" s="5">
        <v>40436</v>
      </c>
      <c r="B259" s="2">
        <v>201009</v>
      </c>
    </row>
    <row r="260" spans="1:2" x14ac:dyDescent="0.35">
      <c r="A260" s="5">
        <v>40437</v>
      </c>
      <c r="B260" s="2">
        <v>201009</v>
      </c>
    </row>
    <row r="261" spans="1:2" x14ac:dyDescent="0.35">
      <c r="A261" s="5">
        <v>40438</v>
      </c>
      <c r="B261" s="2">
        <v>201009</v>
      </c>
    </row>
    <row r="262" spans="1:2" x14ac:dyDescent="0.35">
      <c r="A262" s="5">
        <v>40439</v>
      </c>
      <c r="B262" s="2">
        <v>201009</v>
      </c>
    </row>
    <row r="263" spans="1:2" x14ac:dyDescent="0.35">
      <c r="A263" s="5">
        <v>40440</v>
      </c>
      <c r="B263" s="2">
        <v>201009</v>
      </c>
    </row>
    <row r="264" spans="1:2" x14ac:dyDescent="0.35">
      <c r="A264" s="5">
        <v>40441</v>
      </c>
      <c r="B264" s="2">
        <v>201009</v>
      </c>
    </row>
    <row r="265" spans="1:2" x14ac:dyDescent="0.35">
      <c r="A265" s="5">
        <v>40442</v>
      </c>
      <c r="B265" s="2">
        <v>201009</v>
      </c>
    </row>
    <row r="266" spans="1:2" x14ac:dyDescent="0.35">
      <c r="A266" s="5">
        <v>40443</v>
      </c>
      <c r="B266" s="2">
        <v>201009</v>
      </c>
    </row>
    <row r="267" spans="1:2" x14ac:dyDescent="0.35">
      <c r="A267" s="5">
        <v>40444</v>
      </c>
      <c r="B267" s="2">
        <v>201009</v>
      </c>
    </row>
    <row r="268" spans="1:2" x14ac:dyDescent="0.35">
      <c r="A268" s="5">
        <v>40445</v>
      </c>
      <c r="B268" s="2">
        <v>201009</v>
      </c>
    </row>
    <row r="269" spans="1:2" x14ac:dyDescent="0.35">
      <c r="A269" s="5">
        <v>40446</v>
      </c>
      <c r="B269" s="2">
        <v>201009</v>
      </c>
    </row>
    <row r="270" spans="1:2" x14ac:dyDescent="0.35">
      <c r="A270" s="5">
        <v>40447</v>
      </c>
      <c r="B270" s="2">
        <v>201009</v>
      </c>
    </row>
    <row r="271" spans="1:2" x14ac:dyDescent="0.35">
      <c r="A271" s="5">
        <v>40448</v>
      </c>
      <c r="B271" s="2">
        <v>201009</v>
      </c>
    </row>
    <row r="272" spans="1:2" x14ac:dyDescent="0.35">
      <c r="A272" s="5">
        <v>40449</v>
      </c>
      <c r="B272" s="2">
        <v>201009</v>
      </c>
    </row>
    <row r="273" spans="1:2" x14ac:dyDescent="0.35">
      <c r="A273" s="5">
        <v>40450</v>
      </c>
      <c r="B273" s="2">
        <v>201009</v>
      </c>
    </row>
    <row r="274" spans="1:2" x14ac:dyDescent="0.35">
      <c r="A274" s="5">
        <v>40451</v>
      </c>
      <c r="B274" s="2">
        <v>201009</v>
      </c>
    </row>
    <row r="275" spans="1:2" x14ac:dyDescent="0.35">
      <c r="A275" s="5">
        <v>40452</v>
      </c>
      <c r="B275" s="2">
        <v>201010</v>
      </c>
    </row>
    <row r="276" spans="1:2" x14ac:dyDescent="0.35">
      <c r="A276" s="5">
        <v>40453</v>
      </c>
      <c r="B276" s="2">
        <v>201010</v>
      </c>
    </row>
    <row r="277" spans="1:2" x14ac:dyDescent="0.35">
      <c r="A277" s="5">
        <v>40454</v>
      </c>
      <c r="B277" s="2">
        <v>201010</v>
      </c>
    </row>
    <row r="278" spans="1:2" x14ac:dyDescent="0.35">
      <c r="A278" s="5">
        <v>40455</v>
      </c>
      <c r="B278" s="2">
        <v>201010</v>
      </c>
    </row>
    <row r="279" spans="1:2" x14ac:dyDescent="0.35">
      <c r="A279" s="5">
        <v>40456</v>
      </c>
      <c r="B279" s="2">
        <v>201010</v>
      </c>
    </row>
    <row r="280" spans="1:2" x14ac:dyDescent="0.35">
      <c r="A280" s="5">
        <v>40457</v>
      </c>
      <c r="B280" s="2">
        <v>201010</v>
      </c>
    </row>
    <row r="281" spans="1:2" x14ac:dyDescent="0.35">
      <c r="A281" s="5">
        <v>40458</v>
      </c>
      <c r="B281" s="2">
        <v>201010</v>
      </c>
    </row>
    <row r="282" spans="1:2" x14ac:dyDescent="0.35">
      <c r="A282" s="5">
        <v>40459</v>
      </c>
      <c r="B282" s="2">
        <v>201010</v>
      </c>
    </row>
    <row r="283" spans="1:2" x14ac:dyDescent="0.35">
      <c r="A283" s="5">
        <v>40460</v>
      </c>
      <c r="B283" s="2">
        <v>201010</v>
      </c>
    </row>
    <row r="284" spans="1:2" x14ac:dyDescent="0.35">
      <c r="A284" s="5">
        <v>40461</v>
      </c>
      <c r="B284" s="2">
        <v>201010</v>
      </c>
    </row>
    <row r="285" spans="1:2" x14ac:dyDescent="0.35">
      <c r="A285" s="5">
        <v>40462</v>
      </c>
      <c r="B285" s="2">
        <v>201010</v>
      </c>
    </row>
    <row r="286" spans="1:2" x14ac:dyDescent="0.35">
      <c r="A286" s="5">
        <v>40463</v>
      </c>
      <c r="B286" s="2">
        <v>201010</v>
      </c>
    </row>
    <row r="287" spans="1:2" x14ac:dyDescent="0.35">
      <c r="A287" s="5">
        <v>40464</v>
      </c>
      <c r="B287" s="2">
        <v>201010</v>
      </c>
    </row>
    <row r="288" spans="1:2" x14ac:dyDescent="0.35">
      <c r="A288" s="5">
        <v>40465</v>
      </c>
      <c r="B288" s="2">
        <v>201010</v>
      </c>
    </row>
    <row r="289" spans="1:2" x14ac:dyDescent="0.35">
      <c r="A289" s="5">
        <v>40466</v>
      </c>
      <c r="B289" s="2">
        <v>201010</v>
      </c>
    </row>
    <row r="290" spans="1:2" x14ac:dyDescent="0.35">
      <c r="A290" s="5">
        <v>40467</v>
      </c>
      <c r="B290" s="2">
        <v>201010</v>
      </c>
    </row>
    <row r="291" spans="1:2" x14ac:dyDescent="0.35">
      <c r="A291" s="5">
        <v>40468</v>
      </c>
      <c r="B291" s="2">
        <v>201010</v>
      </c>
    </row>
    <row r="292" spans="1:2" x14ac:dyDescent="0.35">
      <c r="A292" s="5">
        <v>40469</v>
      </c>
      <c r="B292" s="2">
        <v>201010</v>
      </c>
    </row>
    <row r="293" spans="1:2" x14ac:dyDescent="0.35">
      <c r="A293" s="5">
        <v>40470</v>
      </c>
      <c r="B293" s="2">
        <v>201010</v>
      </c>
    </row>
    <row r="294" spans="1:2" x14ac:dyDescent="0.35">
      <c r="A294" s="5">
        <v>40471</v>
      </c>
      <c r="B294" s="2">
        <v>201010</v>
      </c>
    </row>
    <row r="295" spans="1:2" x14ac:dyDescent="0.35">
      <c r="A295" s="5">
        <v>40472</v>
      </c>
      <c r="B295" s="2">
        <v>201010</v>
      </c>
    </row>
    <row r="296" spans="1:2" x14ac:dyDescent="0.35">
      <c r="A296" s="5">
        <v>40473</v>
      </c>
      <c r="B296" s="2">
        <v>201010</v>
      </c>
    </row>
    <row r="297" spans="1:2" x14ac:dyDescent="0.35">
      <c r="A297" s="5">
        <v>40474</v>
      </c>
      <c r="B297" s="2">
        <v>201010</v>
      </c>
    </row>
    <row r="298" spans="1:2" x14ac:dyDescent="0.35">
      <c r="A298" s="5">
        <v>40475</v>
      </c>
      <c r="B298" s="2">
        <v>201010</v>
      </c>
    </row>
    <row r="299" spans="1:2" x14ac:dyDescent="0.35">
      <c r="A299" s="5">
        <v>40476</v>
      </c>
      <c r="B299" s="2">
        <v>201010</v>
      </c>
    </row>
    <row r="300" spans="1:2" x14ac:dyDescent="0.35">
      <c r="A300" s="5">
        <v>40477</v>
      </c>
      <c r="B300" s="2">
        <v>201010</v>
      </c>
    </row>
    <row r="301" spans="1:2" x14ac:dyDescent="0.35">
      <c r="A301" s="5">
        <v>40478</v>
      </c>
      <c r="B301" s="2">
        <v>201010</v>
      </c>
    </row>
    <row r="302" spans="1:2" x14ac:dyDescent="0.35">
      <c r="A302" s="5">
        <v>40479</v>
      </c>
      <c r="B302" s="2">
        <v>201010</v>
      </c>
    </row>
    <row r="303" spans="1:2" x14ac:dyDescent="0.35">
      <c r="A303" s="5">
        <v>40480</v>
      </c>
      <c r="B303" s="2">
        <v>201010</v>
      </c>
    </row>
    <row r="304" spans="1:2" x14ac:dyDescent="0.35">
      <c r="A304" s="5">
        <v>40481</v>
      </c>
      <c r="B304" s="2">
        <v>201010</v>
      </c>
    </row>
    <row r="305" spans="1:2" x14ac:dyDescent="0.35">
      <c r="A305" s="5">
        <v>40482</v>
      </c>
      <c r="B305" s="2">
        <v>201010</v>
      </c>
    </row>
    <row r="306" spans="1:2" x14ac:dyDescent="0.35">
      <c r="A306" s="5">
        <v>40483</v>
      </c>
      <c r="B306" s="2">
        <v>201011</v>
      </c>
    </row>
    <row r="307" spans="1:2" x14ac:dyDescent="0.35">
      <c r="A307" s="5">
        <v>40484</v>
      </c>
      <c r="B307" s="2">
        <v>201011</v>
      </c>
    </row>
    <row r="308" spans="1:2" x14ac:dyDescent="0.35">
      <c r="A308" s="5">
        <v>40485</v>
      </c>
      <c r="B308" s="2">
        <v>201011</v>
      </c>
    </row>
    <row r="309" spans="1:2" x14ac:dyDescent="0.35">
      <c r="A309" s="5">
        <v>40486</v>
      </c>
      <c r="B309" s="2">
        <v>201011</v>
      </c>
    </row>
    <row r="310" spans="1:2" x14ac:dyDescent="0.35">
      <c r="A310" s="5">
        <v>40487</v>
      </c>
      <c r="B310" s="2">
        <v>201011</v>
      </c>
    </row>
    <row r="311" spans="1:2" x14ac:dyDescent="0.35">
      <c r="A311" s="5">
        <v>40488</v>
      </c>
      <c r="B311" s="2">
        <v>201011</v>
      </c>
    </row>
    <row r="312" spans="1:2" x14ac:dyDescent="0.35">
      <c r="A312" s="5">
        <v>40489</v>
      </c>
      <c r="B312" s="2">
        <v>201011</v>
      </c>
    </row>
    <row r="313" spans="1:2" x14ac:dyDescent="0.35">
      <c r="A313" s="5">
        <v>40490</v>
      </c>
      <c r="B313" s="2">
        <v>201011</v>
      </c>
    </row>
    <row r="314" spans="1:2" x14ac:dyDescent="0.35">
      <c r="A314" s="5">
        <v>40491</v>
      </c>
      <c r="B314" s="2">
        <v>201011</v>
      </c>
    </row>
    <row r="315" spans="1:2" x14ac:dyDescent="0.35">
      <c r="A315" s="5">
        <v>40492</v>
      </c>
      <c r="B315" s="2">
        <v>201011</v>
      </c>
    </row>
    <row r="316" spans="1:2" x14ac:dyDescent="0.35">
      <c r="A316" s="5">
        <v>40493</v>
      </c>
      <c r="B316" s="2">
        <v>201011</v>
      </c>
    </row>
    <row r="317" spans="1:2" x14ac:dyDescent="0.35">
      <c r="A317" s="5">
        <v>40494</v>
      </c>
      <c r="B317" s="2">
        <v>201011</v>
      </c>
    </row>
    <row r="318" spans="1:2" x14ac:dyDescent="0.35">
      <c r="A318" s="5">
        <v>40495</v>
      </c>
      <c r="B318" s="2">
        <v>201011</v>
      </c>
    </row>
    <row r="319" spans="1:2" x14ac:dyDescent="0.35">
      <c r="A319" s="5">
        <v>40496</v>
      </c>
      <c r="B319" s="2">
        <v>201011</v>
      </c>
    </row>
    <row r="320" spans="1:2" x14ac:dyDescent="0.35">
      <c r="A320" s="5">
        <v>40497</v>
      </c>
      <c r="B320" s="2">
        <v>201011</v>
      </c>
    </row>
    <row r="321" spans="1:2" x14ac:dyDescent="0.35">
      <c r="A321" s="5">
        <v>40498</v>
      </c>
      <c r="B321" s="2">
        <v>201011</v>
      </c>
    </row>
    <row r="322" spans="1:2" x14ac:dyDescent="0.35">
      <c r="A322" s="5">
        <v>40499</v>
      </c>
      <c r="B322" s="2">
        <v>201011</v>
      </c>
    </row>
    <row r="323" spans="1:2" x14ac:dyDescent="0.35">
      <c r="A323" s="5">
        <v>40500</v>
      </c>
      <c r="B323" s="2">
        <v>201011</v>
      </c>
    </row>
    <row r="324" spans="1:2" x14ac:dyDescent="0.35">
      <c r="A324" s="5">
        <v>40501</v>
      </c>
      <c r="B324" s="2">
        <v>201011</v>
      </c>
    </row>
    <row r="325" spans="1:2" x14ac:dyDescent="0.35">
      <c r="A325" s="5">
        <v>40502</v>
      </c>
      <c r="B325" s="2">
        <v>201011</v>
      </c>
    </row>
    <row r="326" spans="1:2" x14ac:dyDescent="0.35">
      <c r="A326" s="5">
        <v>40503</v>
      </c>
      <c r="B326" s="2">
        <v>201011</v>
      </c>
    </row>
    <row r="327" spans="1:2" x14ac:dyDescent="0.35">
      <c r="A327" s="5">
        <v>40504</v>
      </c>
      <c r="B327" s="2">
        <v>201011</v>
      </c>
    </row>
    <row r="328" spans="1:2" x14ac:dyDescent="0.35">
      <c r="A328" s="5">
        <v>40505</v>
      </c>
      <c r="B328" s="2">
        <v>201011</v>
      </c>
    </row>
    <row r="329" spans="1:2" x14ac:dyDescent="0.35">
      <c r="A329" s="5">
        <v>40506</v>
      </c>
      <c r="B329" s="2">
        <v>201011</v>
      </c>
    </row>
    <row r="330" spans="1:2" x14ac:dyDescent="0.35">
      <c r="A330" s="5">
        <v>40507</v>
      </c>
      <c r="B330" s="2">
        <v>201011</v>
      </c>
    </row>
    <row r="331" spans="1:2" x14ac:dyDescent="0.35">
      <c r="A331" s="5">
        <v>40508</v>
      </c>
      <c r="B331" s="2">
        <v>201011</v>
      </c>
    </row>
    <row r="332" spans="1:2" x14ac:dyDescent="0.35">
      <c r="A332" s="5">
        <v>40509</v>
      </c>
      <c r="B332" s="2">
        <v>201011</v>
      </c>
    </row>
    <row r="333" spans="1:2" x14ac:dyDescent="0.35">
      <c r="A333" s="5">
        <v>40510</v>
      </c>
      <c r="B333" s="2">
        <v>201011</v>
      </c>
    </row>
    <row r="334" spans="1:2" x14ac:dyDescent="0.35">
      <c r="A334" s="5">
        <v>40511</v>
      </c>
      <c r="B334" s="2">
        <v>201011</v>
      </c>
    </row>
    <row r="335" spans="1:2" x14ac:dyDescent="0.35">
      <c r="A335" s="5">
        <v>40512</v>
      </c>
      <c r="B335" s="2">
        <v>201011</v>
      </c>
    </row>
    <row r="336" spans="1:2" x14ac:dyDescent="0.35">
      <c r="A336" s="5">
        <v>40513</v>
      </c>
      <c r="B336" s="2">
        <v>201012</v>
      </c>
    </row>
    <row r="337" spans="1:2" x14ac:dyDescent="0.35">
      <c r="A337" s="5">
        <v>40514</v>
      </c>
      <c r="B337" s="2">
        <v>201012</v>
      </c>
    </row>
    <row r="338" spans="1:2" x14ac:dyDescent="0.35">
      <c r="A338" s="5">
        <v>40515</v>
      </c>
      <c r="B338" s="2">
        <v>201012</v>
      </c>
    </row>
    <row r="339" spans="1:2" x14ac:dyDescent="0.35">
      <c r="A339" s="5">
        <v>40516</v>
      </c>
      <c r="B339" s="2">
        <v>201012</v>
      </c>
    </row>
    <row r="340" spans="1:2" x14ac:dyDescent="0.35">
      <c r="A340" s="5">
        <v>40517</v>
      </c>
      <c r="B340" s="2">
        <v>201012</v>
      </c>
    </row>
    <row r="341" spans="1:2" x14ac:dyDescent="0.35">
      <c r="A341" s="5">
        <v>40518</v>
      </c>
      <c r="B341" s="2">
        <v>201012</v>
      </c>
    </row>
    <row r="342" spans="1:2" x14ac:dyDescent="0.35">
      <c r="A342" s="5">
        <v>40519</v>
      </c>
      <c r="B342" s="2">
        <v>201012</v>
      </c>
    </row>
    <row r="343" spans="1:2" x14ac:dyDescent="0.35">
      <c r="A343" s="5">
        <v>40520</v>
      </c>
      <c r="B343" s="2">
        <v>201012</v>
      </c>
    </row>
    <row r="344" spans="1:2" x14ac:dyDescent="0.35">
      <c r="A344" s="5">
        <v>40521</v>
      </c>
      <c r="B344" s="2">
        <v>201012</v>
      </c>
    </row>
    <row r="345" spans="1:2" x14ac:dyDescent="0.35">
      <c r="A345" s="5">
        <v>40522</v>
      </c>
      <c r="B345" s="2">
        <v>201012</v>
      </c>
    </row>
    <row r="346" spans="1:2" x14ac:dyDescent="0.35">
      <c r="A346" s="5">
        <v>40523</v>
      </c>
      <c r="B346" s="2">
        <v>201012</v>
      </c>
    </row>
    <row r="347" spans="1:2" x14ac:dyDescent="0.35">
      <c r="A347" s="5">
        <v>40524</v>
      </c>
      <c r="B347" s="2">
        <v>201012</v>
      </c>
    </row>
    <row r="348" spans="1:2" x14ac:dyDescent="0.35">
      <c r="A348" s="5">
        <v>40525</v>
      </c>
      <c r="B348" s="2">
        <v>201012</v>
      </c>
    </row>
    <row r="349" spans="1:2" x14ac:dyDescent="0.35">
      <c r="A349" s="5">
        <v>40526</v>
      </c>
      <c r="B349" s="2">
        <v>201012</v>
      </c>
    </row>
    <row r="350" spans="1:2" x14ac:dyDescent="0.35">
      <c r="A350" s="5">
        <v>40527</v>
      </c>
      <c r="B350" s="2">
        <v>201012</v>
      </c>
    </row>
    <row r="351" spans="1:2" x14ac:dyDescent="0.35">
      <c r="A351" s="5">
        <v>40528</v>
      </c>
      <c r="B351" s="2">
        <v>201012</v>
      </c>
    </row>
    <row r="352" spans="1:2" x14ac:dyDescent="0.35">
      <c r="A352" s="5">
        <v>40529</v>
      </c>
      <c r="B352" s="2">
        <v>201012</v>
      </c>
    </row>
    <row r="353" spans="1:2" x14ac:dyDescent="0.35">
      <c r="A353" s="5">
        <v>40530</v>
      </c>
      <c r="B353" s="2">
        <v>201012</v>
      </c>
    </row>
    <row r="354" spans="1:2" x14ac:dyDescent="0.35">
      <c r="A354" s="5">
        <v>40531</v>
      </c>
      <c r="B354" s="2">
        <v>201012</v>
      </c>
    </row>
    <row r="355" spans="1:2" x14ac:dyDescent="0.35">
      <c r="A355" s="5">
        <v>40532</v>
      </c>
      <c r="B355" s="2">
        <v>201012</v>
      </c>
    </row>
    <row r="356" spans="1:2" x14ac:dyDescent="0.35">
      <c r="A356" s="5">
        <v>40533</v>
      </c>
      <c r="B356" s="2">
        <v>201012</v>
      </c>
    </row>
    <row r="357" spans="1:2" x14ac:dyDescent="0.35">
      <c r="A357" s="5">
        <v>40534</v>
      </c>
      <c r="B357" s="2">
        <v>201012</v>
      </c>
    </row>
    <row r="358" spans="1:2" x14ac:dyDescent="0.35">
      <c r="A358" s="5">
        <v>40535</v>
      </c>
      <c r="B358" s="2">
        <v>201012</v>
      </c>
    </row>
    <row r="359" spans="1:2" x14ac:dyDescent="0.35">
      <c r="A359" s="5">
        <v>40536</v>
      </c>
      <c r="B359" s="2">
        <v>201012</v>
      </c>
    </row>
    <row r="360" spans="1:2" x14ac:dyDescent="0.35">
      <c r="A360" s="5">
        <v>40537</v>
      </c>
      <c r="B360" s="2">
        <v>201012</v>
      </c>
    </row>
    <row r="361" spans="1:2" x14ac:dyDescent="0.35">
      <c r="A361" s="5">
        <v>40538</v>
      </c>
      <c r="B361" s="2">
        <v>201012</v>
      </c>
    </row>
    <row r="362" spans="1:2" x14ac:dyDescent="0.35">
      <c r="A362" s="5">
        <v>40539</v>
      </c>
      <c r="B362" s="2">
        <v>201012</v>
      </c>
    </row>
    <row r="363" spans="1:2" x14ac:dyDescent="0.35">
      <c r="A363" s="5">
        <v>40540</v>
      </c>
      <c r="B363" s="2">
        <v>201012</v>
      </c>
    </row>
    <row r="364" spans="1:2" x14ac:dyDescent="0.35">
      <c r="A364" s="5">
        <v>40541</v>
      </c>
      <c r="B364" s="2">
        <v>201012</v>
      </c>
    </row>
    <row r="365" spans="1:2" x14ac:dyDescent="0.35">
      <c r="A365" s="5">
        <v>40542</v>
      </c>
      <c r="B365" s="2">
        <v>201012</v>
      </c>
    </row>
    <row r="366" spans="1:2" x14ac:dyDescent="0.35">
      <c r="A366" s="5">
        <v>40543</v>
      </c>
      <c r="B366" s="2">
        <v>201012</v>
      </c>
    </row>
    <row r="367" spans="1:2" x14ac:dyDescent="0.35">
      <c r="A367" s="5">
        <v>40544</v>
      </c>
      <c r="B367" s="2">
        <v>201101</v>
      </c>
    </row>
    <row r="368" spans="1:2" x14ac:dyDescent="0.35">
      <c r="A368" s="5">
        <v>40545</v>
      </c>
      <c r="B368" s="2">
        <v>201101</v>
      </c>
    </row>
    <row r="369" spans="1:2" x14ac:dyDescent="0.35">
      <c r="A369" s="5">
        <v>40546</v>
      </c>
      <c r="B369" s="2">
        <v>201101</v>
      </c>
    </row>
    <row r="370" spans="1:2" x14ac:dyDescent="0.35">
      <c r="A370" s="5">
        <v>40547</v>
      </c>
      <c r="B370" s="2">
        <v>201101</v>
      </c>
    </row>
    <row r="371" spans="1:2" x14ac:dyDescent="0.35">
      <c r="A371" s="5">
        <v>40548</v>
      </c>
      <c r="B371" s="2">
        <v>201101</v>
      </c>
    </row>
    <row r="372" spans="1:2" x14ac:dyDescent="0.35">
      <c r="A372" s="5">
        <v>40549</v>
      </c>
      <c r="B372" s="2">
        <v>201101</v>
      </c>
    </row>
    <row r="373" spans="1:2" x14ac:dyDescent="0.35">
      <c r="A373" s="5">
        <v>40550</v>
      </c>
      <c r="B373" s="2">
        <v>201101</v>
      </c>
    </row>
    <row r="374" spans="1:2" x14ac:dyDescent="0.35">
      <c r="A374" s="5">
        <v>40551</v>
      </c>
      <c r="B374" s="2">
        <v>201101</v>
      </c>
    </row>
    <row r="375" spans="1:2" x14ac:dyDescent="0.35">
      <c r="A375" s="5">
        <v>40552</v>
      </c>
      <c r="B375" s="2">
        <v>201101</v>
      </c>
    </row>
    <row r="376" spans="1:2" x14ac:dyDescent="0.35">
      <c r="A376" s="5">
        <v>40553</v>
      </c>
      <c r="B376" s="2">
        <v>201101</v>
      </c>
    </row>
    <row r="377" spans="1:2" x14ac:dyDescent="0.35">
      <c r="A377" s="5">
        <v>40554</v>
      </c>
      <c r="B377" s="2">
        <v>201101</v>
      </c>
    </row>
    <row r="378" spans="1:2" x14ac:dyDescent="0.35">
      <c r="A378" s="5">
        <v>40555</v>
      </c>
      <c r="B378" s="2">
        <v>201101</v>
      </c>
    </row>
    <row r="379" spans="1:2" x14ac:dyDescent="0.35">
      <c r="A379" s="5">
        <v>40556</v>
      </c>
      <c r="B379" s="2">
        <v>201101</v>
      </c>
    </row>
    <row r="380" spans="1:2" x14ac:dyDescent="0.35">
      <c r="A380" s="5">
        <v>40557</v>
      </c>
      <c r="B380" s="2">
        <v>201101</v>
      </c>
    </row>
    <row r="381" spans="1:2" x14ac:dyDescent="0.35">
      <c r="A381" s="5">
        <v>40558</v>
      </c>
      <c r="B381" s="2">
        <v>201101</v>
      </c>
    </row>
    <row r="382" spans="1:2" x14ac:dyDescent="0.35">
      <c r="A382" s="5">
        <v>40559</v>
      </c>
      <c r="B382" s="2">
        <v>201101</v>
      </c>
    </row>
    <row r="383" spans="1:2" x14ac:dyDescent="0.35">
      <c r="A383" s="5">
        <v>40560</v>
      </c>
      <c r="B383" s="2">
        <v>201101</v>
      </c>
    </row>
    <row r="384" spans="1:2" x14ac:dyDescent="0.35">
      <c r="A384" s="5">
        <v>40561</v>
      </c>
      <c r="B384" s="2">
        <v>201101</v>
      </c>
    </row>
    <row r="385" spans="1:2" x14ac:dyDescent="0.35">
      <c r="A385" s="5">
        <v>40562</v>
      </c>
      <c r="B385" s="2">
        <v>201101</v>
      </c>
    </row>
    <row r="386" spans="1:2" x14ac:dyDescent="0.35">
      <c r="A386" s="5">
        <v>40563</v>
      </c>
      <c r="B386" s="2">
        <v>201101</v>
      </c>
    </row>
    <row r="387" spans="1:2" x14ac:dyDescent="0.35">
      <c r="A387" s="5">
        <v>40564</v>
      </c>
      <c r="B387" s="2">
        <v>201101</v>
      </c>
    </row>
    <row r="388" spans="1:2" x14ac:dyDescent="0.35">
      <c r="A388" s="5">
        <v>40565</v>
      </c>
      <c r="B388" s="2">
        <v>201101</v>
      </c>
    </row>
    <row r="389" spans="1:2" x14ac:dyDescent="0.35">
      <c r="A389" s="5">
        <v>40566</v>
      </c>
      <c r="B389" s="2">
        <v>201101</v>
      </c>
    </row>
    <row r="390" spans="1:2" x14ac:dyDescent="0.35">
      <c r="A390" s="5">
        <v>40567</v>
      </c>
      <c r="B390" s="2">
        <v>201101</v>
      </c>
    </row>
    <row r="391" spans="1:2" x14ac:dyDescent="0.35">
      <c r="A391" s="5">
        <v>40568</v>
      </c>
      <c r="B391" s="2">
        <v>201101</v>
      </c>
    </row>
    <row r="392" spans="1:2" x14ac:dyDescent="0.35">
      <c r="A392" s="5">
        <v>40569</v>
      </c>
      <c r="B392" s="2">
        <v>201101</v>
      </c>
    </row>
    <row r="393" spans="1:2" x14ac:dyDescent="0.35">
      <c r="A393" s="5">
        <v>40570</v>
      </c>
      <c r="B393" s="2">
        <v>201101</v>
      </c>
    </row>
    <row r="394" spans="1:2" x14ac:dyDescent="0.35">
      <c r="A394" s="5">
        <v>40571</v>
      </c>
      <c r="B394" s="2">
        <v>201101</v>
      </c>
    </row>
    <row r="395" spans="1:2" x14ac:dyDescent="0.35">
      <c r="A395" s="5">
        <v>40572</v>
      </c>
      <c r="B395" s="2">
        <v>201101</v>
      </c>
    </row>
    <row r="396" spans="1:2" x14ac:dyDescent="0.35">
      <c r="A396" s="5">
        <v>40573</v>
      </c>
      <c r="B396" s="2">
        <v>201101</v>
      </c>
    </row>
    <row r="397" spans="1:2" x14ac:dyDescent="0.35">
      <c r="A397" s="5">
        <v>40574</v>
      </c>
      <c r="B397" s="2">
        <v>201101</v>
      </c>
    </row>
    <row r="398" spans="1:2" x14ac:dyDescent="0.35">
      <c r="A398" s="5">
        <v>40575</v>
      </c>
      <c r="B398" s="2">
        <v>201102</v>
      </c>
    </row>
    <row r="399" spans="1:2" x14ac:dyDescent="0.35">
      <c r="A399" s="5">
        <v>40576</v>
      </c>
      <c r="B399" s="2">
        <v>201102</v>
      </c>
    </row>
    <row r="400" spans="1:2" x14ac:dyDescent="0.35">
      <c r="A400" s="5">
        <v>40577</v>
      </c>
      <c r="B400" s="2">
        <v>201102</v>
      </c>
    </row>
    <row r="401" spans="1:2" x14ac:dyDescent="0.35">
      <c r="A401" s="5">
        <v>40578</v>
      </c>
      <c r="B401" s="2">
        <v>201102</v>
      </c>
    </row>
    <row r="402" spans="1:2" x14ac:dyDescent="0.35">
      <c r="A402" s="5">
        <v>40579</v>
      </c>
      <c r="B402" s="2">
        <v>201102</v>
      </c>
    </row>
    <row r="403" spans="1:2" x14ac:dyDescent="0.35">
      <c r="A403" s="5">
        <v>40580</v>
      </c>
      <c r="B403" s="2">
        <v>201102</v>
      </c>
    </row>
    <row r="404" spans="1:2" x14ac:dyDescent="0.35">
      <c r="A404" s="5">
        <v>40581</v>
      </c>
      <c r="B404" s="2">
        <v>201102</v>
      </c>
    </row>
    <row r="405" spans="1:2" x14ac:dyDescent="0.35">
      <c r="A405" s="5">
        <v>40582</v>
      </c>
      <c r="B405" s="2">
        <v>201102</v>
      </c>
    </row>
    <row r="406" spans="1:2" x14ac:dyDescent="0.35">
      <c r="A406" s="5">
        <v>40583</v>
      </c>
      <c r="B406" s="2">
        <v>201102</v>
      </c>
    </row>
    <row r="407" spans="1:2" x14ac:dyDescent="0.35">
      <c r="A407" s="5">
        <v>40584</v>
      </c>
      <c r="B407" s="2">
        <v>201102</v>
      </c>
    </row>
    <row r="408" spans="1:2" x14ac:dyDescent="0.35">
      <c r="A408" s="5">
        <v>40585</v>
      </c>
      <c r="B408" s="2">
        <v>201102</v>
      </c>
    </row>
    <row r="409" spans="1:2" x14ac:dyDescent="0.35">
      <c r="A409" s="5">
        <v>40586</v>
      </c>
      <c r="B409" s="2">
        <v>201102</v>
      </c>
    </row>
    <row r="410" spans="1:2" x14ac:dyDescent="0.35">
      <c r="A410" s="5">
        <v>40587</v>
      </c>
      <c r="B410" s="2">
        <v>201102</v>
      </c>
    </row>
    <row r="411" spans="1:2" x14ac:dyDescent="0.35">
      <c r="A411" s="5">
        <v>40588</v>
      </c>
      <c r="B411" s="2">
        <v>201102</v>
      </c>
    </row>
    <row r="412" spans="1:2" x14ac:dyDescent="0.35">
      <c r="A412" s="5">
        <v>40589</v>
      </c>
      <c r="B412" s="2">
        <v>201102</v>
      </c>
    </row>
    <row r="413" spans="1:2" x14ac:dyDescent="0.35">
      <c r="A413" s="5">
        <v>40590</v>
      </c>
      <c r="B413" s="2">
        <v>201102</v>
      </c>
    </row>
    <row r="414" spans="1:2" x14ac:dyDescent="0.35">
      <c r="A414" s="5">
        <v>40591</v>
      </c>
      <c r="B414" s="2">
        <v>201102</v>
      </c>
    </row>
    <row r="415" spans="1:2" x14ac:dyDescent="0.35">
      <c r="A415" s="5">
        <v>40592</v>
      </c>
      <c r="B415" s="2">
        <v>201102</v>
      </c>
    </row>
    <row r="416" spans="1:2" x14ac:dyDescent="0.35">
      <c r="A416" s="5">
        <v>40593</v>
      </c>
      <c r="B416" s="2">
        <v>201102</v>
      </c>
    </row>
    <row r="417" spans="1:2" x14ac:dyDescent="0.35">
      <c r="A417" s="5">
        <v>40594</v>
      </c>
      <c r="B417" s="2">
        <v>201102</v>
      </c>
    </row>
    <row r="418" spans="1:2" x14ac:dyDescent="0.35">
      <c r="A418" s="5">
        <v>40595</v>
      </c>
      <c r="B418" s="2">
        <v>201102</v>
      </c>
    </row>
    <row r="419" spans="1:2" x14ac:dyDescent="0.35">
      <c r="A419" s="5">
        <v>40596</v>
      </c>
      <c r="B419" s="2">
        <v>201102</v>
      </c>
    </row>
    <row r="420" spans="1:2" x14ac:dyDescent="0.35">
      <c r="A420" s="5">
        <v>40597</v>
      </c>
      <c r="B420" s="2">
        <v>201102</v>
      </c>
    </row>
    <row r="421" spans="1:2" x14ac:dyDescent="0.35">
      <c r="A421" s="5">
        <v>40598</v>
      </c>
      <c r="B421" s="2">
        <v>201102</v>
      </c>
    </row>
    <row r="422" spans="1:2" x14ac:dyDescent="0.35">
      <c r="A422" s="5">
        <v>40599</v>
      </c>
      <c r="B422" s="2">
        <v>201102</v>
      </c>
    </row>
    <row r="423" spans="1:2" x14ac:dyDescent="0.35">
      <c r="A423" s="5">
        <v>40600</v>
      </c>
      <c r="B423" s="2">
        <v>201102</v>
      </c>
    </row>
    <row r="424" spans="1:2" x14ac:dyDescent="0.35">
      <c r="A424" s="5">
        <v>40601</v>
      </c>
      <c r="B424" s="2">
        <v>201102</v>
      </c>
    </row>
    <row r="425" spans="1:2" x14ac:dyDescent="0.35">
      <c r="A425" s="5">
        <v>40602</v>
      </c>
      <c r="B425" s="2">
        <v>201102</v>
      </c>
    </row>
    <row r="426" spans="1:2" x14ac:dyDescent="0.35">
      <c r="A426" s="5">
        <v>40603</v>
      </c>
      <c r="B426" s="2">
        <v>201103</v>
      </c>
    </row>
    <row r="427" spans="1:2" x14ac:dyDescent="0.35">
      <c r="A427" s="5">
        <v>40604</v>
      </c>
      <c r="B427" s="2">
        <v>201103</v>
      </c>
    </row>
    <row r="428" spans="1:2" x14ac:dyDescent="0.35">
      <c r="A428" s="5">
        <v>40605</v>
      </c>
      <c r="B428" s="2">
        <v>201103</v>
      </c>
    </row>
    <row r="429" spans="1:2" x14ac:dyDescent="0.35">
      <c r="A429" s="5">
        <v>40606</v>
      </c>
      <c r="B429" s="2">
        <v>201103</v>
      </c>
    </row>
    <row r="430" spans="1:2" x14ac:dyDescent="0.35">
      <c r="A430" s="5">
        <v>40607</v>
      </c>
      <c r="B430" s="2">
        <v>201103</v>
      </c>
    </row>
    <row r="431" spans="1:2" x14ac:dyDescent="0.35">
      <c r="A431" s="5">
        <v>40608</v>
      </c>
      <c r="B431" s="2">
        <v>201103</v>
      </c>
    </row>
    <row r="432" spans="1:2" x14ac:dyDescent="0.35">
      <c r="A432" s="5">
        <v>40609</v>
      </c>
      <c r="B432" s="2">
        <v>201103</v>
      </c>
    </row>
    <row r="433" spans="1:2" x14ac:dyDescent="0.35">
      <c r="A433" s="5">
        <v>40610</v>
      </c>
      <c r="B433" s="2">
        <v>201103</v>
      </c>
    </row>
    <row r="434" spans="1:2" x14ac:dyDescent="0.35">
      <c r="A434" s="5">
        <v>40611</v>
      </c>
      <c r="B434" s="2">
        <v>201103</v>
      </c>
    </row>
    <row r="435" spans="1:2" x14ac:dyDescent="0.35">
      <c r="A435" s="5">
        <v>40612</v>
      </c>
      <c r="B435" s="2">
        <v>201103</v>
      </c>
    </row>
    <row r="436" spans="1:2" x14ac:dyDescent="0.35">
      <c r="A436" s="5">
        <v>40613</v>
      </c>
      <c r="B436" s="2">
        <v>201103</v>
      </c>
    </row>
    <row r="437" spans="1:2" x14ac:dyDescent="0.35">
      <c r="A437" s="5">
        <v>40614</v>
      </c>
      <c r="B437" s="2">
        <v>201103</v>
      </c>
    </row>
    <row r="438" spans="1:2" x14ac:dyDescent="0.35">
      <c r="A438" s="5">
        <v>40615</v>
      </c>
      <c r="B438" s="2">
        <v>201103</v>
      </c>
    </row>
    <row r="439" spans="1:2" x14ac:dyDescent="0.35">
      <c r="A439" s="5">
        <v>40616</v>
      </c>
      <c r="B439" s="2">
        <v>201103</v>
      </c>
    </row>
    <row r="440" spans="1:2" x14ac:dyDescent="0.35">
      <c r="A440" s="5">
        <v>40617</v>
      </c>
      <c r="B440" s="2">
        <v>201103</v>
      </c>
    </row>
    <row r="441" spans="1:2" x14ac:dyDescent="0.35">
      <c r="A441" s="5">
        <v>40618</v>
      </c>
      <c r="B441" s="2">
        <v>201103</v>
      </c>
    </row>
    <row r="442" spans="1:2" x14ac:dyDescent="0.35">
      <c r="A442" s="5">
        <v>40619</v>
      </c>
      <c r="B442" s="2">
        <v>201103</v>
      </c>
    </row>
    <row r="443" spans="1:2" x14ac:dyDescent="0.35">
      <c r="A443" s="5">
        <v>40620</v>
      </c>
      <c r="B443" s="2">
        <v>201103</v>
      </c>
    </row>
    <row r="444" spans="1:2" x14ac:dyDescent="0.35">
      <c r="A444" s="5">
        <v>40621</v>
      </c>
      <c r="B444" s="2">
        <v>201103</v>
      </c>
    </row>
    <row r="445" spans="1:2" x14ac:dyDescent="0.35">
      <c r="A445" s="5">
        <v>40622</v>
      </c>
      <c r="B445" s="2">
        <v>201103</v>
      </c>
    </row>
    <row r="446" spans="1:2" x14ac:dyDescent="0.35">
      <c r="A446" s="5">
        <v>40623</v>
      </c>
      <c r="B446" s="2">
        <v>201103</v>
      </c>
    </row>
    <row r="447" spans="1:2" x14ac:dyDescent="0.35">
      <c r="A447" s="5">
        <v>40624</v>
      </c>
      <c r="B447" s="2">
        <v>201103</v>
      </c>
    </row>
    <row r="448" spans="1:2" x14ac:dyDescent="0.35">
      <c r="A448" s="5">
        <v>40625</v>
      </c>
      <c r="B448" s="2">
        <v>201103</v>
      </c>
    </row>
    <row r="449" spans="1:2" x14ac:dyDescent="0.35">
      <c r="A449" s="5">
        <v>40626</v>
      </c>
      <c r="B449" s="2">
        <v>201103</v>
      </c>
    </row>
    <row r="450" spans="1:2" x14ac:dyDescent="0.35">
      <c r="A450" s="5">
        <v>40627</v>
      </c>
      <c r="B450" s="2">
        <v>201103</v>
      </c>
    </row>
    <row r="451" spans="1:2" x14ac:dyDescent="0.35">
      <c r="A451" s="5">
        <v>40628</v>
      </c>
      <c r="B451" s="2">
        <v>201103</v>
      </c>
    </row>
    <row r="452" spans="1:2" x14ac:dyDescent="0.35">
      <c r="A452" s="5">
        <v>40629</v>
      </c>
      <c r="B452" s="2">
        <v>201103</v>
      </c>
    </row>
    <row r="453" spans="1:2" x14ac:dyDescent="0.35">
      <c r="A453" s="5">
        <v>40630</v>
      </c>
      <c r="B453" s="2">
        <v>201103</v>
      </c>
    </row>
    <row r="454" spans="1:2" x14ac:dyDescent="0.35">
      <c r="A454" s="5">
        <v>40631</v>
      </c>
      <c r="B454" s="2">
        <v>201103</v>
      </c>
    </row>
    <row r="455" spans="1:2" x14ac:dyDescent="0.35">
      <c r="A455" s="5">
        <v>40632</v>
      </c>
      <c r="B455" s="2">
        <v>201103</v>
      </c>
    </row>
    <row r="456" spans="1:2" x14ac:dyDescent="0.35">
      <c r="A456" s="5">
        <v>40633</v>
      </c>
      <c r="B456" s="2">
        <v>201103</v>
      </c>
    </row>
    <row r="457" spans="1:2" x14ac:dyDescent="0.35">
      <c r="A457" s="5">
        <v>40634</v>
      </c>
      <c r="B457" s="2">
        <v>201104</v>
      </c>
    </row>
    <row r="458" spans="1:2" x14ac:dyDescent="0.35">
      <c r="A458" s="5">
        <v>40635</v>
      </c>
      <c r="B458" s="2">
        <v>201104</v>
      </c>
    </row>
    <row r="459" spans="1:2" x14ac:dyDescent="0.35">
      <c r="A459" s="5">
        <v>40636</v>
      </c>
      <c r="B459" s="2">
        <v>201104</v>
      </c>
    </row>
    <row r="460" spans="1:2" x14ac:dyDescent="0.35">
      <c r="A460" s="5">
        <v>40637</v>
      </c>
      <c r="B460" s="2">
        <v>201104</v>
      </c>
    </row>
    <row r="461" spans="1:2" x14ac:dyDescent="0.35">
      <c r="A461" s="5">
        <v>40638</v>
      </c>
      <c r="B461" s="2">
        <v>201104</v>
      </c>
    </row>
    <row r="462" spans="1:2" x14ac:dyDescent="0.35">
      <c r="A462" s="5">
        <v>40639</v>
      </c>
      <c r="B462" s="2">
        <v>201104</v>
      </c>
    </row>
    <row r="463" spans="1:2" x14ac:dyDescent="0.35">
      <c r="A463" s="5">
        <v>40640</v>
      </c>
      <c r="B463" s="2">
        <v>201104</v>
      </c>
    </row>
    <row r="464" spans="1:2" x14ac:dyDescent="0.35">
      <c r="A464" s="5">
        <v>40641</v>
      </c>
      <c r="B464" s="2">
        <v>201104</v>
      </c>
    </row>
    <row r="465" spans="1:2" x14ac:dyDescent="0.35">
      <c r="A465" s="5">
        <v>40642</v>
      </c>
      <c r="B465" s="2">
        <v>201104</v>
      </c>
    </row>
    <row r="466" spans="1:2" x14ac:dyDescent="0.35">
      <c r="A466" s="5">
        <v>40643</v>
      </c>
      <c r="B466" s="2">
        <v>201104</v>
      </c>
    </row>
    <row r="467" spans="1:2" x14ac:dyDescent="0.35">
      <c r="A467" s="5">
        <v>40644</v>
      </c>
      <c r="B467" s="2">
        <v>201104</v>
      </c>
    </row>
    <row r="468" spans="1:2" x14ac:dyDescent="0.35">
      <c r="A468" s="5">
        <v>40645</v>
      </c>
      <c r="B468" s="2">
        <v>201104</v>
      </c>
    </row>
    <row r="469" spans="1:2" x14ac:dyDescent="0.35">
      <c r="A469" s="5">
        <v>40646</v>
      </c>
      <c r="B469" s="2">
        <v>201104</v>
      </c>
    </row>
    <row r="470" spans="1:2" x14ac:dyDescent="0.35">
      <c r="A470" s="5">
        <v>40647</v>
      </c>
      <c r="B470" s="2">
        <v>201104</v>
      </c>
    </row>
    <row r="471" spans="1:2" x14ac:dyDescent="0.35">
      <c r="A471" s="5">
        <v>40648</v>
      </c>
      <c r="B471" s="2">
        <v>201104</v>
      </c>
    </row>
    <row r="472" spans="1:2" x14ac:dyDescent="0.35">
      <c r="A472" s="5">
        <v>40649</v>
      </c>
      <c r="B472" s="2">
        <v>201104</v>
      </c>
    </row>
    <row r="473" spans="1:2" x14ac:dyDescent="0.35">
      <c r="A473" s="5">
        <v>40650</v>
      </c>
      <c r="B473" s="2">
        <v>201104</v>
      </c>
    </row>
    <row r="474" spans="1:2" x14ac:dyDescent="0.35">
      <c r="A474" s="5">
        <v>40651</v>
      </c>
      <c r="B474" s="2">
        <v>201104</v>
      </c>
    </row>
    <row r="475" spans="1:2" x14ac:dyDescent="0.35">
      <c r="A475" s="5">
        <v>40652</v>
      </c>
      <c r="B475" s="2">
        <v>201104</v>
      </c>
    </row>
    <row r="476" spans="1:2" x14ac:dyDescent="0.35">
      <c r="A476" s="5">
        <v>40653</v>
      </c>
      <c r="B476" s="2">
        <v>201104</v>
      </c>
    </row>
    <row r="477" spans="1:2" x14ac:dyDescent="0.35">
      <c r="A477" s="5">
        <v>40654</v>
      </c>
      <c r="B477" s="2">
        <v>201104</v>
      </c>
    </row>
    <row r="478" spans="1:2" x14ac:dyDescent="0.35">
      <c r="A478" s="5">
        <v>40655</v>
      </c>
      <c r="B478" s="2">
        <v>201104</v>
      </c>
    </row>
    <row r="479" spans="1:2" x14ac:dyDescent="0.35">
      <c r="A479" s="5">
        <v>40656</v>
      </c>
      <c r="B479" s="2">
        <v>201104</v>
      </c>
    </row>
    <row r="480" spans="1:2" x14ac:dyDescent="0.35">
      <c r="A480" s="5">
        <v>40657</v>
      </c>
      <c r="B480" s="2">
        <v>201104</v>
      </c>
    </row>
    <row r="481" spans="1:2" x14ac:dyDescent="0.35">
      <c r="A481" s="5">
        <v>40658</v>
      </c>
      <c r="B481" s="2">
        <v>201104</v>
      </c>
    </row>
    <row r="482" spans="1:2" x14ac:dyDescent="0.35">
      <c r="A482" s="5">
        <v>40659</v>
      </c>
      <c r="B482" s="2">
        <v>201104</v>
      </c>
    </row>
    <row r="483" spans="1:2" x14ac:dyDescent="0.35">
      <c r="A483" s="5">
        <v>40660</v>
      </c>
      <c r="B483" s="2">
        <v>201104</v>
      </c>
    </row>
    <row r="484" spans="1:2" x14ac:dyDescent="0.35">
      <c r="A484" s="5">
        <v>40661</v>
      </c>
      <c r="B484" s="2">
        <v>201104</v>
      </c>
    </row>
    <row r="485" spans="1:2" x14ac:dyDescent="0.35">
      <c r="A485" s="5">
        <v>40662</v>
      </c>
      <c r="B485" s="2">
        <v>201104</v>
      </c>
    </row>
    <row r="486" spans="1:2" x14ac:dyDescent="0.35">
      <c r="A486" s="5">
        <v>40663</v>
      </c>
      <c r="B486" s="2">
        <v>201104</v>
      </c>
    </row>
    <row r="487" spans="1:2" x14ac:dyDescent="0.35">
      <c r="A487" s="5">
        <v>40664</v>
      </c>
      <c r="B487" s="2">
        <v>201105</v>
      </c>
    </row>
    <row r="488" spans="1:2" x14ac:dyDescent="0.35">
      <c r="A488" s="5">
        <v>40665</v>
      </c>
      <c r="B488" s="2">
        <v>201105</v>
      </c>
    </row>
    <row r="489" spans="1:2" x14ac:dyDescent="0.35">
      <c r="A489" s="5">
        <v>40666</v>
      </c>
      <c r="B489" s="2">
        <v>201105</v>
      </c>
    </row>
    <row r="490" spans="1:2" x14ac:dyDescent="0.35">
      <c r="A490" s="5">
        <v>40667</v>
      </c>
      <c r="B490" s="2">
        <v>201105</v>
      </c>
    </row>
    <row r="491" spans="1:2" x14ac:dyDescent="0.35">
      <c r="A491" s="5">
        <v>40668</v>
      </c>
      <c r="B491" s="2">
        <v>201105</v>
      </c>
    </row>
    <row r="492" spans="1:2" x14ac:dyDescent="0.35">
      <c r="A492" s="5">
        <v>40669</v>
      </c>
      <c r="B492" s="2">
        <v>201105</v>
      </c>
    </row>
    <row r="493" spans="1:2" x14ac:dyDescent="0.35">
      <c r="A493" s="5">
        <v>40670</v>
      </c>
      <c r="B493" s="2">
        <v>201105</v>
      </c>
    </row>
    <row r="494" spans="1:2" x14ac:dyDescent="0.35">
      <c r="A494" s="5">
        <v>40671</v>
      </c>
      <c r="B494" s="2">
        <v>201105</v>
      </c>
    </row>
    <row r="495" spans="1:2" x14ac:dyDescent="0.35">
      <c r="A495" s="5">
        <v>40672</v>
      </c>
      <c r="B495" s="2">
        <v>201105</v>
      </c>
    </row>
    <row r="496" spans="1:2" x14ac:dyDescent="0.35">
      <c r="A496" s="5">
        <v>40673</v>
      </c>
      <c r="B496" s="2">
        <v>201105</v>
      </c>
    </row>
    <row r="497" spans="1:2" x14ac:dyDescent="0.35">
      <c r="A497" s="5">
        <v>40674</v>
      </c>
      <c r="B497" s="2">
        <v>201105</v>
      </c>
    </row>
    <row r="498" spans="1:2" x14ac:dyDescent="0.35">
      <c r="A498" s="5">
        <v>40675</v>
      </c>
      <c r="B498" s="2">
        <v>201105</v>
      </c>
    </row>
    <row r="499" spans="1:2" x14ac:dyDescent="0.35">
      <c r="A499" s="5">
        <v>40676</v>
      </c>
      <c r="B499" s="2">
        <v>201105</v>
      </c>
    </row>
    <row r="500" spans="1:2" x14ac:dyDescent="0.35">
      <c r="A500" s="5">
        <v>40677</v>
      </c>
      <c r="B500" s="2">
        <v>201105</v>
      </c>
    </row>
    <row r="501" spans="1:2" x14ac:dyDescent="0.35">
      <c r="A501" s="5">
        <v>40678</v>
      </c>
      <c r="B501" s="2">
        <v>201105</v>
      </c>
    </row>
    <row r="502" spans="1:2" x14ac:dyDescent="0.35">
      <c r="A502" s="5">
        <v>40679</v>
      </c>
      <c r="B502" s="2">
        <v>201105</v>
      </c>
    </row>
    <row r="503" spans="1:2" x14ac:dyDescent="0.35">
      <c r="A503" s="5">
        <v>40680</v>
      </c>
      <c r="B503" s="2">
        <v>201105</v>
      </c>
    </row>
    <row r="504" spans="1:2" x14ac:dyDescent="0.35">
      <c r="A504" s="5">
        <v>40681</v>
      </c>
      <c r="B504" s="2">
        <v>201105</v>
      </c>
    </row>
    <row r="505" spans="1:2" x14ac:dyDescent="0.35">
      <c r="A505" s="5">
        <v>40682</v>
      </c>
      <c r="B505" s="2">
        <v>201105</v>
      </c>
    </row>
    <row r="506" spans="1:2" x14ac:dyDescent="0.35">
      <c r="A506" s="5">
        <v>40683</v>
      </c>
      <c r="B506" s="2">
        <v>201105</v>
      </c>
    </row>
    <row r="507" spans="1:2" x14ac:dyDescent="0.35">
      <c r="A507" s="5">
        <v>40684</v>
      </c>
      <c r="B507" s="2">
        <v>201105</v>
      </c>
    </row>
    <row r="508" spans="1:2" x14ac:dyDescent="0.35">
      <c r="A508" s="5">
        <v>40685</v>
      </c>
      <c r="B508" s="2">
        <v>201105</v>
      </c>
    </row>
    <row r="509" spans="1:2" x14ac:dyDescent="0.35">
      <c r="A509" s="5">
        <v>40686</v>
      </c>
      <c r="B509" s="2">
        <v>201105</v>
      </c>
    </row>
    <row r="510" spans="1:2" x14ac:dyDescent="0.35">
      <c r="A510" s="5">
        <v>40687</v>
      </c>
      <c r="B510" s="2">
        <v>201105</v>
      </c>
    </row>
    <row r="511" spans="1:2" x14ac:dyDescent="0.35">
      <c r="A511" s="5">
        <v>40688</v>
      </c>
      <c r="B511" s="2">
        <v>201105</v>
      </c>
    </row>
    <row r="512" spans="1:2" x14ac:dyDescent="0.35">
      <c r="A512" s="5">
        <v>40689</v>
      </c>
      <c r="B512" s="2">
        <v>201105</v>
      </c>
    </row>
    <row r="513" spans="1:2" x14ac:dyDescent="0.35">
      <c r="A513" s="5">
        <v>40690</v>
      </c>
      <c r="B513" s="2">
        <v>201105</v>
      </c>
    </row>
    <row r="514" spans="1:2" x14ac:dyDescent="0.35">
      <c r="A514" s="5">
        <v>40691</v>
      </c>
      <c r="B514" s="2">
        <v>201105</v>
      </c>
    </row>
    <row r="515" spans="1:2" x14ac:dyDescent="0.35">
      <c r="A515" s="5">
        <v>40692</v>
      </c>
      <c r="B515" s="2">
        <v>201105</v>
      </c>
    </row>
    <row r="516" spans="1:2" x14ac:dyDescent="0.35">
      <c r="A516" s="5">
        <v>40693</v>
      </c>
      <c r="B516" s="2">
        <v>201105</v>
      </c>
    </row>
    <row r="517" spans="1:2" x14ac:dyDescent="0.35">
      <c r="A517" s="5">
        <v>40694</v>
      </c>
      <c r="B517" s="2">
        <v>201105</v>
      </c>
    </row>
    <row r="518" spans="1:2" x14ac:dyDescent="0.35">
      <c r="A518" s="5">
        <v>40695</v>
      </c>
      <c r="B518" s="2">
        <v>201106</v>
      </c>
    </row>
    <row r="519" spans="1:2" x14ac:dyDescent="0.35">
      <c r="A519" s="5">
        <v>40696</v>
      </c>
      <c r="B519" s="2">
        <v>201106</v>
      </c>
    </row>
    <row r="520" spans="1:2" x14ac:dyDescent="0.35">
      <c r="A520" s="5">
        <v>40697</v>
      </c>
      <c r="B520" s="2">
        <v>201106</v>
      </c>
    </row>
    <row r="521" spans="1:2" x14ac:dyDescent="0.35">
      <c r="A521" s="5">
        <v>40698</v>
      </c>
      <c r="B521" s="2">
        <v>201106</v>
      </c>
    </row>
    <row r="522" spans="1:2" x14ac:dyDescent="0.35">
      <c r="A522" s="5">
        <v>40699</v>
      </c>
      <c r="B522" s="2">
        <v>201106</v>
      </c>
    </row>
    <row r="523" spans="1:2" x14ac:dyDescent="0.35">
      <c r="A523" s="5">
        <v>40700</v>
      </c>
      <c r="B523" s="2">
        <v>201106</v>
      </c>
    </row>
    <row r="524" spans="1:2" x14ac:dyDescent="0.35">
      <c r="A524" s="5">
        <v>40701</v>
      </c>
      <c r="B524" s="2">
        <v>201106</v>
      </c>
    </row>
    <row r="525" spans="1:2" x14ac:dyDescent="0.35">
      <c r="A525" s="5">
        <v>40702</v>
      </c>
      <c r="B525" s="2">
        <v>201106</v>
      </c>
    </row>
    <row r="526" spans="1:2" x14ac:dyDescent="0.35">
      <c r="A526" s="5">
        <v>40703</v>
      </c>
      <c r="B526" s="2">
        <v>201106</v>
      </c>
    </row>
    <row r="527" spans="1:2" x14ac:dyDescent="0.35">
      <c r="A527" s="5">
        <v>40704</v>
      </c>
      <c r="B527" s="2">
        <v>201106</v>
      </c>
    </row>
    <row r="528" spans="1:2" x14ac:dyDescent="0.35">
      <c r="A528" s="5">
        <v>40705</v>
      </c>
      <c r="B528" s="2">
        <v>201106</v>
      </c>
    </row>
    <row r="529" spans="1:2" x14ac:dyDescent="0.35">
      <c r="A529" s="5">
        <v>40706</v>
      </c>
      <c r="B529" s="2">
        <v>201106</v>
      </c>
    </row>
    <row r="530" spans="1:2" x14ac:dyDescent="0.35">
      <c r="A530" s="5">
        <v>40707</v>
      </c>
      <c r="B530" s="2">
        <v>201106</v>
      </c>
    </row>
    <row r="531" spans="1:2" x14ac:dyDescent="0.35">
      <c r="A531" s="5">
        <v>40708</v>
      </c>
      <c r="B531" s="2">
        <v>201106</v>
      </c>
    </row>
    <row r="532" spans="1:2" x14ac:dyDescent="0.35">
      <c r="A532" s="5">
        <v>40709</v>
      </c>
      <c r="B532" s="2">
        <v>201106</v>
      </c>
    </row>
    <row r="533" spans="1:2" x14ac:dyDescent="0.35">
      <c r="A533" s="5">
        <v>40710</v>
      </c>
      <c r="B533" s="2">
        <v>201106</v>
      </c>
    </row>
    <row r="534" spans="1:2" x14ac:dyDescent="0.35">
      <c r="A534" s="5">
        <v>40711</v>
      </c>
      <c r="B534" s="2">
        <v>201106</v>
      </c>
    </row>
    <row r="535" spans="1:2" x14ac:dyDescent="0.35">
      <c r="A535" s="5">
        <v>40712</v>
      </c>
      <c r="B535" s="2">
        <v>201106</v>
      </c>
    </row>
    <row r="536" spans="1:2" x14ac:dyDescent="0.35">
      <c r="A536" s="5">
        <v>40713</v>
      </c>
      <c r="B536" s="2">
        <v>201106</v>
      </c>
    </row>
    <row r="537" spans="1:2" x14ac:dyDescent="0.35">
      <c r="A537" s="5">
        <v>40714</v>
      </c>
      <c r="B537" s="2">
        <v>201106</v>
      </c>
    </row>
    <row r="538" spans="1:2" x14ac:dyDescent="0.35">
      <c r="A538" s="5">
        <v>40715</v>
      </c>
      <c r="B538" s="2">
        <v>201106</v>
      </c>
    </row>
    <row r="539" spans="1:2" x14ac:dyDescent="0.35">
      <c r="A539" s="5">
        <v>40716</v>
      </c>
      <c r="B539" s="2">
        <v>201106</v>
      </c>
    </row>
    <row r="540" spans="1:2" x14ac:dyDescent="0.35">
      <c r="A540" s="5">
        <v>40717</v>
      </c>
      <c r="B540" s="2">
        <v>201106</v>
      </c>
    </row>
    <row r="541" spans="1:2" x14ac:dyDescent="0.35">
      <c r="A541" s="5">
        <v>40718</v>
      </c>
      <c r="B541" s="2">
        <v>201106</v>
      </c>
    </row>
    <row r="542" spans="1:2" x14ac:dyDescent="0.35">
      <c r="A542" s="5">
        <v>40719</v>
      </c>
      <c r="B542" s="2">
        <v>201106</v>
      </c>
    </row>
    <row r="543" spans="1:2" x14ac:dyDescent="0.35">
      <c r="A543" s="5">
        <v>40720</v>
      </c>
      <c r="B543" s="2">
        <v>201106</v>
      </c>
    </row>
    <row r="544" spans="1:2" x14ac:dyDescent="0.35">
      <c r="A544" s="5">
        <v>40721</v>
      </c>
      <c r="B544" s="2">
        <v>201106</v>
      </c>
    </row>
    <row r="545" spans="1:2" x14ac:dyDescent="0.35">
      <c r="A545" s="5">
        <v>40722</v>
      </c>
      <c r="B545" s="2">
        <v>201106</v>
      </c>
    </row>
    <row r="546" spans="1:2" x14ac:dyDescent="0.35">
      <c r="A546" s="5">
        <v>40723</v>
      </c>
      <c r="B546" s="2">
        <v>201106</v>
      </c>
    </row>
    <row r="547" spans="1:2" x14ac:dyDescent="0.35">
      <c r="A547" s="5">
        <v>40724</v>
      </c>
      <c r="B547" s="2">
        <v>201106</v>
      </c>
    </row>
    <row r="548" spans="1:2" x14ac:dyDescent="0.35">
      <c r="A548" s="5">
        <v>40725</v>
      </c>
      <c r="B548" s="2">
        <v>201107</v>
      </c>
    </row>
    <row r="549" spans="1:2" x14ac:dyDescent="0.35">
      <c r="A549" s="5">
        <v>40726</v>
      </c>
      <c r="B549" s="2">
        <v>201107</v>
      </c>
    </row>
    <row r="550" spans="1:2" x14ac:dyDescent="0.35">
      <c r="A550" s="5">
        <v>40727</v>
      </c>
      <c r="B550" s="2">
        <v>201107</v>
      </c>
    </row>
    <row r="551" spans="1:2" x14ac:dyDescent="0.35">
      <c r="A551" s="5">
        <v>40728</v>
      </c>
      <c r="B551" s="2">
        <v>201107</v>
      </c>
    </row>
    <row r="552" spans="1:2" x14ac:dyDescent="0.35">
      <c r="A552" s="5">
        <v>40729</v>
      </c>
      <c r="B552" s="2">
        <v>201107</v>
      </c>
    </row>
    <row r="553" spans="1:2" x14ac:dyDescent="0.35">
      <c r="A553" s="5">
        <v>40730</v>
      </c>
      <c r="B553" s="2">
        <v>201107</v>
      </c>
    </row>
    <row r="554" spans="1:2" x14ac:dyDescent="0.35">
      <c r="A554" s="5">
        <v>40731</v>
      </c>
      <c r="B554" s="2">
        <v>201107</v>
      </c>
    </row>
    <row r="555" spans="1:2" x14ac:dyDescent="0.35">
      <c r="A555" s="5">
        <v>40732</v>
      </c>
      <c r="B555" s="2">
        <v>201107</v>
      </c>
    </row>
    <row r="556" spans="1:2" x14ac:dyDescent="0.35">
      <c r="A556" s="5">
        <v>40733</v>
      </c>
      <c r="B556" s="2">
        <v>201107</v>
      </c>
    </row>
    <row r="557" spans="1:2" x14ac:dyDescent="0.35">
      <c r="A557" s="5">
        <v>40734</v>
      </c>
      <c r="B557" s="2">
        <v>201107</v>
      </c>
    </row>
    <row r="558" spans="1:2" x14ac:dyDescent="0.35">
      <c r="A558" s="5">
        <v>40735</v>
      </c>
      <c r="B558" s="2">
        <v>201107</v>
      </c>
    </row>
    <row r="559" spans="1:2" x14ac:dyDescent="0.35">
      <c r="A559" s="5">
        <v>40736</v>
      </c>
      <c r="B559" s="2">
        <v>201107</v>
      </c>
    </row>
    <row r="560" spans="1:2" x14ac:dyDescent="0.35">
      <c r="A560" s="5">
        <v>40737</v>
      </c>
      <c r="B560" s="2">
        <v>201107</v>
      </c>
    </row>
    <row r="561" spans="1:2" x14ac:dyDescent="0.35">
      <c r="A561" s="5">
        <v>40738</v>
      </c>
      <c r="B561" s="2">
        <v>201107</v>
      </c>
    </row>
    <row r="562" spans="1:2" x14ac:dyDescent="0.35">
      <c r="A562" s="5">
        <v>40739</v>
      </c>
      <c r="B562" s="2">
        <v>201107</v>
      </c>
    </row>
    <row r="563" spans="1:2" x14ac:dyDescent="0.35">
      <c r="A563" s="5">
        <v>40740</v>
      </c>
      <c r="B563" s="2">
        <v>201107</v>
      </c>
    </row>
    <row r="564" spans="1:2" x14ac:dyDescent="0.35">
      <c r="A564" s="5">
        <v>40741</v>
      </c>
      <c r="B564" s="2">
        <v>201107</v>
      </c>
    </row>
    <row r="565" spans="1:2" x14ac:dyDescent="0.35">
      <c r="A565" s="5">
        <v>40742</v>
      </c>
      <c r="B565" s="2">
        <v>201107</v>
      </c>
    </row>
    <row r="566" spans="1:2" x14ac:dyDescent="0.35">
      <c r="A566" s="5">
        <v>40743</v>
      </c>
      <c r="B566" s="2">
        <v>201107</v>
      </c>
    </row>
    <row r="567" spans="1:2" x14ac:dyDescent="0.35">
      <c r="A567" s="5">
        <v>40744</v>
      </c>
      <c r="B567" s="2">
        <v>201107</v>
      </c>
    </row>
    <row r="568" spans="1:2" x14ac:dyDescent="0.35">
      <c r="A568" s="5">
        <v>40745</v>
      </c>
      <c r="B568" s="2">
        <v>201107</v>
      </c>
    </row>
    <row r="569" spans="1:2" x14ac:dyDescent="0.35">
      <c r="A569" s="5">
        <v>40746</v>
      </c>
      <c r="B569" s="2">
        <v>201107</v>
      </c>
    </row>
    <row r="570" spans="1:2" x14ac:dyDescent="0.35">
      <c r="A570" s="5">
        <v>40747</v>
      </c>
      <c r="B570" s="2">
        <v>201107</v>
      </c>
    </row>
    <row r="571" spans="1:2" x14ac:dyDescent="0.35">
      <c r="A571" s="5">
        <v>40748</v>
      </c>
      <c r="B571" s="2">
        <v>201107</v>
      </c>
    </row>
    <row r="572" spans="1:2" x14ac:dyDescent="0.35">
      <c r="A572" s="5">
        <v>40749</v>
      </c>
      <c r="B572" s="2">
        <v>201107</v>
      </c>
    </row>
    <row r="573" spans="1:2" x14ac:dyDescent="0.35">
      <c r="A573" s="5">
        <v>40750</v>
      </c>
      <c r="B573" s="2">
        <v>201107</v>
      </c>
    </row>
    <row r="574" spans="1:2" x14ac:dyDescent="0.35">
      <c r="A574" s="5">
        <v>40751</v>
      </c>
      <c r="B574" s="2">
        <v>201107</v>
      </c>
    </row>
    <row r="575" spans="1:2" x14ac:dyDescent="0.35">
      <c r="A575" s="5">
        <v>40752</v>
      </c>
      <c r="B575" s="2">
        <v>201107</v>
      </c>
    </row>
    <row r="576" spans="1:2" x14ac:dyDescent="0.35">
      <c r="A576" s="5">
        <v>40753</v>
      </c>
      <c r="B576" s="2">
        <v>201107</v>
      </c>
    </row>
    <row r="577" spans="1:2" x14ac:dyDescent="0.35">
      <c r="A577" s="5">
        <v>40754</v>
      </c>
      <c r="B577" s="2">
        <v>201107</v>
      </c>
    </row>
    <row r="578" spans="1:2" x14ac:dyDescent="0.35">
      <c r="A578" s="5">
        <v>40755</v>
      </c>
      <c r="B578" s="2">
        <v>201107</v>
      </c>
    </row>
    <row r="579" spans="1:2" x14ac:dyDescent="0.35">
      <c r="A579" s="5">
        <v>40756</v>
      </c>
      <c r="B579" s="2">
        <v>201108</v>
      </c>
    </row>
    <row r="580" spans="1:2" x14ac:dyDescent="0.35">
      <c r="A580" s="5">
        <v>40757</v>
      </c>
      <c r="B580" s="2">
        <v>201108</v>
      </c>
    </row>
    <row r="581" spans="1:2" x14ac:dyDescent="0.35">
      <c r="A581" s="5">
        <v>40758</v>
      </c>
      <c r="B581" s="2">
        <v>201108</v>
      </c>
    </row>
    <row r="582" spans="1:2" x14ac:dyDescent="0.35">
      <c r="A582" s="5">
        <v>40759</v>
      </c>
      <c r="B582" s="2">
        <v>201108</v>
      </c>
    </row>
    <row r="583" spans="1:2" x14ac:dyDescent="0.35">
      <c r="A583" s="5">
        <v>40760</v>
      </c>
      <c r="B583" s="2">
        <v>201108</v>
      </c>
    </row>
    <row r="584" spans="1:2" x14ac:dyDescent="0.35">
      <c r="A584" s="5">
        <v>40761</v>
      </c>
      <c r="B584" s="2">
        <v>201108</v>
      </c>
    </row>
    <row r="585" spans="1:2" x14ac:dyDescent="0.35">
      <c r="A585" s="5">
        <v>40762</v>
      </c>
      <c r="B585" s="2">
        <v>201108</v>
      </c>
    </row>
    <row r="586" spans="1:2" x14ac:dyDescent="0.35">
      <c r="A586" s="5">
        <v>40763</v>
      </c>
      <c r="B586" s="2">
        <v>201108</v>
      </c>
    </row>
    <row r="587" spans="1:2" x14ac:dyDescent="0.35">
      <c r="A587" s="5">
        <v>40764</v>
      </c>
      <c r="B587" s="2">
        <v>201108</v>
      </c>
    </row>
    <row r="588" spans="1:2" x14ac:dyDescent="0.35">
      <c r="A588" s="5">
        <v>40765</v>
      </c>
      <c r="B588" s="2">
        <v>201108</v>
      </c>
    </row>
    <row r="589" spans="1:2" x14ac:dyDescent="0.35">
      <c r="A589" s="5">
        <v>40766</v>
      </c>
      <c r="B589" s="2">
        <v>201108</v>
      </c>
    </row>
    <row r="590" spans="1:2" x14ac:dyDescent="0.35">
      <c r="A590" s="5">
        <v>40767</v>
      </c>
      <c r="B590" s="2">
        <v>201108</v>
      </c>
    </row>
    <row r="591" spans="1:2" x14ac:dyDescent="0.35">
      <c r="A591" s="5">
        <v>40768</v>
      </c>
      <c r="B591" s="2">
        <v>201108</v>
      </c>
    </row>
    <row r="592" spans="1:2" x14ac:dyDescent="0.35">
      <c r="A592" s="5">
        <v>40769</v>
      </c>
      <c r="B592" s="2">
        <v>201108</v>
      </c>
    </row>
    <row r="593" spans="1:2" x14ac:dyDescent="0.35">
      <c r="A593" s="5">
        <v>40770</v>
      </c>
      <c r="B593" s="2">
        <v>201108</v>
      </c>
    </row>
    <row r="594" spans="1:2" x14ac:dyDescent="0.35">
      <c r="A594" s="5">
        <v>40771</v>
      </c>
      <c r="B594" s="2">
        <v>201108</v>
      </c>
    </row>
    <row r="595" spans="1:2" x14ac:dyDescent="0.35">
      <c r="A595" s="5">
        <v>40772</v>
      </c>
      <c r="B595" s="2">
        <v>201108</v>
      </c>
    </row>
    <row r="596" spans="1:2" x14ac:dyDescent="0.35">
      <c r="A596" s="5">
        <v>40773</v>
      </c>
      <c r="B596" s="2">
        <v>201108</v>
      </c>
    </row>
    <row r="597" spans="1:2" x14ac:dyDescent="0.35">
      <c r="A597" s="5">
        <v>40774</v>
      </c>
      <c r="B597" s="2">
        <v>201108</v>
      </c>
    </row>
    <row r="598" spans="1:2" x14ac:dyDescent="0.35">
      <c r="A598" s="5">
        <v>40775</v>
      </c>
      <c r="B598" s="2">
        <v>201108</v>
      </c>
    </row>
    <row r="599" spans="1:2" x14ac:dyDescent="0.35">
      <c r="A599" s="5">
        <v>40776</v>
      </c>
      <c r="B599" s="2">
        <v>201108</v>
      </c>
    </row>
    <row r="600" spans="1:2" x14ac:dyDescent="0.35">
      <c r="A600" s="5">
        <v>40777</v>
      </c>
      <c r="B600" s="2">
        <v>201108</v>
      </c>
    </row>
    <row r="601" spans="1:2" x14ac:dyDescent="0.35">
      <c r="A601" s="5">
        <v>40778</v>
      </c>
      <c r="B601" s="2">
        <v>201108</v>
      </c>
    </row>
    <row r="602" spans="1:2" x14ac:dyDescent="0.35">
      <c r="A602" s="5">
        <v>40779</v>
      </c>
      <c r="B602" s="2">
        <v>201108</v>
      </c>
    </row>
    <row r="603" spans="1:2" x14ac:dyDescent="0.35">
      <c r="A603" s="5">
        <v>40780</v>
      </c>
      <c r="B603" s="2">
        <v>201108</v>
      </c>
    </row>
    <row r="604" spans="1:2" x14ac:dyDescent="0.35">
      <c r="A604" s="5">
        <v>40781</v>
      </c>
      <c r="B604" s="2">
        <v>201108</v>
      </c>
    </row>
    <row r="605" spans="1:2" x14ac:dyDescent="0.35">
      <c r="A605" s="5">
        <v>40782</v>
      </c>
      <c r="B605" s="2">
        <v>201108</v>
      </c>
    </row>
    <row r="606" spans="1:2" x14ac:dyDescent="0.35">
      <c r="A606" s="5">
        <v>40783</v>
      </c>
      <c r="B606" s="2">
        <v>201108</v>
      </c>
    </row>
    <row r="607" spans="1:2" x14ac:dyDescent="0.35">
      <c r="A607" s="5">
        <v>40784</v>
      </c>
      <c r="B607" s="2">
        <v>201108</v>
      </c>
    </row>
    <row r="608" spans="1:2" x14ac:dyDescent="0.35">
      <c r="A608" s="5">
        <v>40785</v>
      </c>
      <c r="B608" s="2">
        <v>201108</v>
      </c>
    </row>
    <row r="609" spans="1:2" x14ac:dyDescent="0.35">
      <c r="A609" s="5">
        <v>40786</v>
      </c>
      <c r="B609" s="2">
        <v>201108</v>
      </c>
    </row>
    <row r="610" spans="1:2" x14ac:dyDescent="0.35">
      <c r="A610" s="5">
        <v>40787</v>
      </c>
      <c r="B610" s="2">
        <v>201109</v>
      </c>
    </row>
    <row r="611" spans="1:2" x14ac:dyDescent="0.35">
      <c r="A611" s="5">
        <v>40788</v>
      </c>
      <c r="B611" s="2">
        <v>201109</v>
      </c>
    </row>
    <row r="612" spans="1:2" x14ac:dyDescent="0.35">
      <c r="A612" s="5">
        <v>40789</v>
      </c>
      <c r="B612" s="2">
        <v>201109</v>
      </c>
    </row>
    <row r="613" spans="1:2" x14ac:dyDescent="0.35">
      <c r="A613" s="5">
        <v>40790</v>
      </c>
      <c r="B613" s="2">
        <v>201109</v>
      </c>
    </row>
    <row r="614" spans="1:2" x14ac:dyDescent="0.35">
      <c r="A614" s="5">
        <v>40791</v>
      </c>
      <c r="B614" s="2">
        <v>201109</v>
      </c>
    </row>
    <row r="615" spans="1:2" x14ac:dyDescent="0.35">
      <c r="A615" s="5">
        <v>40792</v>
      </c>
      <c r="B615" s="2">
        <v>201109</v>
      </c>
    </row>
    <row r="616" spans="1:2" x14ac:dyDescent="0.35">
      <c r="A616" s="5">
        <v>40793</v>
      </c>
      <c r="B616" s="2">
        <v>201109</v>
      </c>
    </row>
    <row r="617" spans="1:2" x14ac:dyDescent="0.35">
      <c r="A617" s="5">
        <v>40794</v>
      </c>
      <c r="B617" s="2">
        <v>201109</v>
      </c>
    </row>
    <row r="618" spans="1:2" x14ac:dyDescent="0.35">
      <c r="A618" s="5">
        <v>40795</v>
      </c>
      <c r="B618" s="2">
        <v>201109</v>
      </c>
    </row>
    <row r="619" spans="1:2" x14ac:dyDescent="0.35">
      <c r="A619" s="5">
        <v>40796</v>
      </c>
      <c r="B619" s="2">
        <v>201109</v>
      </c>
    </row>
    <row r="620" spans="1:2" x14ac:dyDescent="0.35">
      <c r="A620" s="5">
        <v>40797</v>
      </c>
      <c r="B620" s="2">
        <v>201109</v>
      </c>
    </row>
    <row r="621" spans="1:2" x14ac:dyDescent="0.35">
      <c r="A621" s="5">
        <v>40798</v>
      </c>
      <c r="B621" s="2">
        <v>201109</v>
      </c>
    </row>
    <row r="622" spans="1:2" x14ac:dyDescent="0.35">
      <c r="A622" s="5">
        <v>40799</v>
      </c>
      <c r="B622" s="2">
        <v>201109</v>
      </c>
    </row>
    <row r="623" spans="1:2" x14ac:dyDescent="0.35">
      <c r="A623" s="5">
        <v>40800</v>
      </c>
      <c r="B623" s="2">
        <v>201109</v>
      </c>
    </row>
    <row r="624" spans="1:2" x14ac:dyDescent="0.35">
      <c r="A624" s="5">
        <v>40801</v>
      </c>
      <c r="B624" s="2">
        <v>201109</v>
      </c>
    </row>
    <row r="625" spans="1:2" x14ac:dyDescent="0.35">
      <c r="A625" s="5">
        <v>40802</v>
      </c>
      <c r="B625" s="2">
        <v>201109</v>
      </c>
    </row>
    <row r="626" spans="1:2" x14ac:dyDescent="0.35">
      <c r="A626" s="5">
        <v>40803</v>
      </c>
      <c r="B626" s="2">
        <v>201109</v>
      </c>
    </row>
    <row r="627" spans="1:2" x14ac:dyDescent="0.35">
      <c r="A627" s="5">
        <v>40804</v>
      </c>
      <c r="B627" s="2">
        <v>201109</v>
      </c>
    </row>
    <row r="628" spans="1:2" x14ac:dyDescent="0.35">
      <c r="A628" s="5">
        <v>40805</v>
      </c>
      <c r="B628" s="2">
        <v>201109</v>
      </c>
    </row>
    <row r="629" spans="1:2" x14ac:dyDescent="0.35">
      <c r="A629" s="5">
        <v>40806</v>
      </c>
      <c r="B629" s="2">
        <v>201109</v>
      </c>
    </row>
    <row r="630" spans="1:2" x14ac:dyDescent="0.35">
      <c r="A630" s="5">
        <v>40807</v>
      </c>
      <c r="B630" s="2">
        <v>201109</v>
      </c>
    </row>
    <row r="631" spans="1:2" x14ac:dyDescent="0.35">
      <c r="A631" s="5">
        <v>40808</v>
      </c>
      <c r="B631" s="2">
        <v>201109</v>
      </c>
    </row>
    <row r="632" spans="1:2" x14ac:dyDescent="0.35">
      <c r="A632" s="5">
        <v>40809</v>
      </c>
      <c r="B632" s="2">
        <v>201109</v>
      </c>
    </row>
    <row r="633" spans="1:2" x14ac:dyDescent="0.35">
      <c r="A633" s="5">
        <v>40810</v>
      </c>
      <c r="B633" s="2">
        <v>201109</v>
      </c>
    </row>
    <row r="634" spans="1:2" x14ac:dyDescent="0.35">
      <c r="A634" s="5">
        <v>40811</v>
      </c>
      <c r="B634" s="2">
        <v>201109</v>
      </c>
    </row>
    <row r="635" spans="1:2" x14ac:dyDescent="0.35">
      <c r="A635" s="5">
        <v>40812</v>
      </c>
      <c r="B635" s="2">
        <v>201109</v>
      </c>
    </row>
    <row r="636" spans="1:2" x14ac:dyDescent="0.35">
      <c r="A636" s="5">
        <v>40813</v>
      </c>
      <c r="B636" s="2">
        <v>201109</v>
      </c>
    </row>
    <row r="637" spans="1:2" x14ac:dyDescent="0.35">
      <c r="A637" s="5">
        <v>40814</v>
      </c>
      <c r="B637" s="2">
        <v>201109</v>
      </c>
    </row>
    <row r="638" spans="1:2" x14ac:dyDescent="0.35">
      <c r="A638" s="5">
        <v>40815</v>
      </c>
      <c r="B638" s="2">
        <v>201109</v>
      </c>
    </row>
    <row r="639" spans="1:2" x14ac:dyDescent="0.35">
      <c r="A639" s="5">
        <v>40816</v>
      </c>
      <c r="B639" s="2">
        <v>201109</v>
      </c>
    </row>
    <row r="640" spans="1:2" x14ac:dyDescent="0.35">
      <c r="A640" s="5">
        <v>40817</v>
      </c>
      <c r="B640" s="2">
        <v>201110</v>
      </c>
    </row>
    <row r="641" spans="1:2" x14ac:dyDescent="0.35">
      <c r="A641" s="5">
        <v>40818</v>
      </c>
      <c r="B641" s="2">
        <v>201110</v>
      </c>
    </row>
    <row r="642" spans="1:2" x14ac:dyDescent="0.35">
      <c r="A642" s="5">
        <v>40819</v>
      </c>
      <c r="B642" s="2">
        <v>201110</v>
      </c>
    </row>
    <row r="643" spans="1:2" x14ac:dyDescent="0.35">
      <c r="A643" s="5">
        <v>40820</v>
      </c>
      <c r="B643" s="2">
        <v>201110</v>
      </c>
    </row>
    <row r="644" spans="1:2" x14ac:dyDescent="0.35">
      <c r="A644" s="5">
        <v>40821</v>
      </c>
      <c r="B644" s="2">
        <v>201110</v>
      </c>
    </row>
    <row r="645" spans="1:2" x14ac:dyDescent="0.35">
      <c r="A645" s="5">
        <v>40822</v>
      </c>
      <c r="B645" s="2">
        <v>201110</v>
      </c>
    </row>
    <row r="646" spans="1:2" x14ac:dyDescent="0.35">
      <c r="A646" s="5">
        <v>40823</v>
      </c>
      <c r="B646" s="2">
        <v>201110</v>
      </c>
    </row>
    <row r="647" spans="1:2" x14ac:dyDescent="0.35">
      <c r="A647" s="5">
        <v>40824</v>
      </c>
      <c r="B647" s="2">
        <v>201110</v>
      </c>
    </row>
    <row r="648" spans="1:2" x14ac:dyDescent="0.35">
      <c r="A648" s="5">
        <v>40825</v>
      </c>
      <c r="B648" s="2">
        <v>201110</v>
      </c>
    </row>
    <row r="649" spans="1:2" x14ac:dyDescent="0.35">
      <c r="A649" s="5">
        <v>40826</v>
      </c>
      <c r="B649" s="2">
        <v>201110</v>
      </c>
    </row>
    <row r="650" spans="1:2" x14ac:dyDescent="0.35">
      <c r="A650" s="5">
        <v>40827</v>
      </c>
      <c r="B650" s="2">
        <v>201110</v>
      </c>
    </row>
    <row r="651" spans="1:2" x14ac:dyDescent="0.35">
      <c r="A651" s="5">
        <v>40828</v>
      </c>
      <c r="B651" s="2">
        <v>201110</v>
      </c>
    </row>
    <row r="652" spans="1:2" x14ac:dyDescent="0.35">
      <c r="A652" s="5">
        <v>40829</v>
      </c>
      <c r="B652" s="2">
        <v>201110</v>
      </c>
    </row>
    <row r="653" spans="1:2" x14ac:dyDescent="0.35">
      <c r="A653" s="5">
        <v>40830</v>
      </c>
      <c r="B653" s="2">
        <v>201110</v>
      </c>
    </row>
    <row r="654" spans="1:2" x14ac:dyDescent="0.35">
      <c r="A654" s="5">
        <v>40831</v>
      </c>
      <c r="B654" s="2">
        <v>201110</v>
      </c>
    </row>
    <row r="655" spans="1:2" x14ac:dyDescent="0.35">
      <c r="A655" s="5">
        <v>40832</v>
      </c>
      <c r="B655" s="2">
        <v>201110</v>
      </c>
    </row>
    <row r="656" spans="1:2" x14ac:dyDescent="0.35">
      <c r="A656" s="5">
        <v>40833</v>
      </c>
      <c r="B656" s="2">
        <v>201110</v>
      </c>
    </row>
    <row r="657" spans="1:2" x14ac:dyDescent="0.35">
      <c r="A657" s="5">
        <v>40834</v>
      </c>
      <c r="B657" s="2">
        <v>201110</v>
      </c>
    </row>
    <row r="658" spans="1:2" x14ac:dyDescent="0.35">
      <c r="A658" s="5">
        <v>40835</v>
      </c>
      <c r="B658" s="2">
        <v>201110</v>
      </c>
    </row>
    <row r="659" spans="1:2" x14ac:dyDescent="0.35">
      <c r="A659" s="5">
        <v>40836</v>
      </c>
      <c r="B659" s="2">
        <v>201110</v>
      </c>
    </row>
    <row r="660" spans="1:2" x14ac:dyDescent="0.35">
      <c r="A660" s="5">
        <v>40837</v>
      </c>
      <c r="B660" s="2">
        <v>201110</v>
      </c>
    </row>
    <row r="661" spans="1:2" x14ac:dyDescent="0.35">
      <c r="A661" s="5">
        <v>40838</v>
      </c>
      <c r="B661" s="2">
        <v>201110</v>
      </c>
    </row>
    <row r="662" spans="1:2" x14ac:dyDescent="0.35">
      <c r="A662" s="5">
        <v>40839</v>
      </c>
      <c r="B662" s="2">
        <v>201110</v>
      </c>
    </row>
    <row r="663" spans="1:2" x14ac:dyDescent="0.35">
      <c r="A663" s="5">
        <v>40840</v>
      </c>
      <c r="B663" s="2">
        <v>201110</v>
      </c>
    </row>
    <row r="664" spans="1:2" x14ac:dyDescent="0.35">
      <c r="A664" s="5">
        <v>40841</v>
      </c>
      <c r="B664" s="2">
        <v>201110</v>
      </c>
    </row>
    <row r="665" spans="1:2" x14ac:dyDescent="0.35">
      <c r="A665" s="5">
        <v>40842</v>
      </c>
      <c r="B665" s="2">
        <v>201110</v>
      </c>
    </row>
    <row r="666" spans="1:2" x14ac:dyDescent="0.35">
      <c r="A666" s="5">
        <v>40843</v>
      </c>
      <c r="B666" s="2">
        <v>201110</v>
      </c>
    </row>
    <row r="667" spans="1:2" x14ac:dyDescent="0.35">
      <c r="A667" s="5">
        <v>40844</v>
      </c>
      <c r="B667" s="2">
        <v>201110</v>
      </c>
    </row>
    <row r="668" spans="1:2" x14ac:dyDescent="0.35">
      <c r="A668" s="5">
        <v>40845</v>
      </c>
      <c r="B668" s="2">
        <v>201110</v>
      </c>
    </row>
    <row r="669" spans="1:2" x14ac:dyDescent="0.35">
      <c r="A669" s="5">
        <v>40846</v>
      </c>
      <c r="B669" s="2">
        <v>201110</v>
      </c>
    </row>
    <row r="670" spans="1:2" x14ac:dyDescent="0.35">
      <c r="A670" s="5">
        <v>40847</v>
      </c>
      <c r="B670" s="2">
        <v>201110</v>
      </c>
    </row>
    <row r="671" spans="1:2" x14ac:dyDescent="0.35">
      <c r="A671" s="5">
        <v>40848</v>
      </c>
      <c r="B671" s="2">
        <v>201111</v>
      </c>
    </row>
    <row r="672" spans="1:2" x14ac:dyDescent="0.35">
      <c r="A672" s="5">
        <v>40849</v>
      </c>
      <c r="B672" s="2">
        <v>201111</v>
      </c>
    </row>
    <row r="673" spans="1:2" x14ac:dyDescent="0.35">
      <c r="A673" s="5">
        <v>40850</v>
      </c>
      <c r="B673" s="2">
        <v>201111</v>
      </c>
    </row>
    <row r="674" spans="1:2" x14ac:dyDescent="0.35">
      <c r="A674" s="5">
        <v>40851</v>
      </c>
      <c r="B674" s="2">
        <v>201111</v>
      </c>
    </row>
    <row r="675" spans="1:2" x14ac:dyDescent="0.35">
      <c r="A675" s="5">
        <v>40852</v>
      </c>
      <c r="B675" s="2">
        <v>201111</v>
      </c>
    </row>
    <row r="676" spans="1:2" x14ac:dyDescent="0.35">
      <c r="A676" s="5">
        <v>40853</v>
      </c>
      <c r="B676" s="2">
        <v>201111</v>
      </c>
    </row>
    <row r="677" spans="1:2" x14ac:dyDescent="0.35">
      <c r="A677" s="5">
        <v>40854</v>
      </c>
      <c r="B677" s="2">
        <v>201111</v>
      </c>
    </row>
    <row r="678" spans="1:2" x14ac:dyDescent="0.35">
      <c r="A678" s="5">
        <v>40855</v>
      </c>
      <c r="B678" s="2">
        <v>201111</v>
      </c>
    </row>
    <row r="679" spans="1:2" x14ac:dyDescent="0.35">
      <c r="A679" s="5">
        <v>40856</v>
      </c>
      <c r="B679" s="2">
        <v>201111</v>
      </c>
    </row>
    <row r="680" spans="1:2" x14ac:dyDescent="0.35">
      <c r="A680" s="5">
        <v>40857</v>
      </c>
      <c r="B680" s="2">
        <v>201111</v>
      </c>
    </row>
    <row r="681" spans="1:2" x14ac:dyDescent="0.35">
      <c r="A681" s="5">
        <v>40858</v>
      </c>
      <c r="B681" s="2">
        <v>201111</v>
      </c>
    </row>
    <row r="682" spans="1:2" x14ac:dyDescent="0.35">
      <c r="A682" s="5">
        <v>40859</v>
      </c>
      <c r="B682" s="2">
        <v>201111</v>
      </c>
    </row>
    <row r="683" spans="1:2" x14ac:dyDescent="0.35">
      <c r="A683" s="5">
        <v>40860</v>
      </c>
      <c r="B683" s="2">
        <v>201111</v>
      </c>
    </row>
    <row r="684" spans="1:2" x14ac:dyDescent="0.35">
      <c r="A684" s="5">
        <v>40861</v>
      </c>
      <c r="B684" s="2">
        <v>201111</v>
      </c>
    </row>
    <row r="685" spans="1:2" x14ac:dyDescent="0.35">
      <c r="A685" s="5">
        <v>40862</v>
      </c>
      <c r="B685" s="2">
        <v>201111</v>
      </c>
    </row>
    <row r="686" spans="1:2" x14ac:dyDescent="0.35">
      <c r="A686" s="5">
        <v>40863</v>
      </c>
      <c r="B686" s="2">
        <v>201111</v>
      </c>
    </row>
    <row r="687" spans="1:2" x14ac:dyDescent="0.35">
      <c r="A687" s="5">
        <v>40864</v>
      </c>
      <c r="B687" s="2">
        <v>201111</v>
      </c>
    </row>
    <row r="688" spans="1:2" x14ac:dyDescent="0.35">
      <c r="A688" s="5">
        <v>40865</v>
      </c>
      <c r="B688" s="2">
        <v>201111</v>
      </c>
    </row>
    <row r="689" spans="1:2" x14ac:dyDescent="0.35">
      <c r="A689" s="5">
        <v>40866</v>
      </c>
      <c r="B689" s="2">
        <v>201111</v>
      </c>
    </row>
    <row r="690" spans="1:2" x14ac:dyDescent="0.35">
      <c r="A690" s="5">
        <v>40867</v>
      </c>
      <c r="B690" s="2">
        <v>201111</v>
      </c>
    </row>
    <row r="691" spans="1:2" x14ac:dyDescent="0.35">
      <c r="A691" s="5">
        <v>40868</v>
      </c>
      <c r="B691" s="2">
        <v>201111</v>
      </c>
    </row>
    <row r="692" spans="1:2" x14ac:dyDescent="0.35">
      <c r="A692" s="5">
        <v>40869</v>
      </c>
      <c r="B692" s="2">
        <v>201111</v>
      </c>
    </row>
    <row r="693" spans="1:2" x14ac:dyDescent="0.35">
      <c r="A693" s="5">
        <v>40870</v>
      </c>
      <c r="B693" s="2">
        <v>201111</v>
      </c>
    </row>
    <row r="694" spans="1:2" x14ac:dyDescent="0.35">
      <c r="A694" s="5">
        <v>40871</v>
      </c>
      <c r="B694" s="2">
        <v>201111</v>
      </c>
    </row>
    <row r="695" spans="1:2" x14ac:dyDescent="0.35">
      <c r="A695" s="5">
        <v>40872</v>
      </c>
      <c r="B695" s="2">
        <v>201111</v>
      </c>
    </row>
    <row r="696" spans="1:2" x14ac:dyDescent="0.35">
      <c r="A696" s="5">
        <v>40873</v>
      </c>
      <c r="B696" s="2">
        <v>201111</v>
      </c>
    </row>
    <row r="697" spans="1:2" x14ac:dyDescent="0.35">
      <c r="A697" s="5">
        <v>40874</v>
      </c>
      <c r="B697" s="2">
        <v>201111</v>
      </c>
    </row>
    <row r="698" spans="1:2" x14ac:dyDescent="0.35">
      <c r="A698" s="5">
        <v>40875</v>
      </c>
      <c r="B698" s="2">
        <v>201111</v>
      </c>
    </row>
    <row r="699" spans="1:2" x14ac:dyDescent="0.35">
      <c r="A699" s="5">
        <v>40876</v>
      </c>
      <c r="B699" s="2">
        <v>201111</v>
      </c>
    </row>
    <row r="700" spans="1:2" x14ac:dyDescent="0.35">
      <c r="A700" s="5">
        <v>40877</v>
      </c>
      <c r="B700" s="2">
        <v>201111</v>
      </c>
    </row>
    <row r="701" spans="1:2" x14ac:dyDescent="0.35">
      <c r="A701" s="5">
        <v>40878</v>
      </c>
      <c r="B701" s="2">
        <v>201112</v>
      </c>
    </row>
    <row r="702" spans="1:2" x14ac:dyDescent="0.35">
      <c r="A702" s="5">
        <v>40879</v>
      </c>
      <c r="B702" s="2">
        <v>201112</v>
      </c>
    </row>
    <row r="703" spans="1:2" x14ac:dyDescent="0.35">
      <c r="A703" s="5">
        <v>40880</v>
      </c>
      <c r="B703" s="2">
        <v>201112</v>
      </c>
    </row>
    <row r="704" spans="1:2" x14ac:dyDescent="0.35">
      <c r="A704" s="5">
        <v>40881</v>
      </c>
      <c r="B704" s="2">
        <v>201112</v>
      </c>
    </row>
    <row r="705" spans="1:2" x14ac:dyDescent="0.35">
      <c r="A705" s="5">
        <v>40882</v>
      </c>
      <c r="B705" s="2">
        <v>201112</v>
      </c>
    </row>
    <row r="706" spans="1:2" x14ac:dyDescent="0.35">
      <c r="A706" s="5">
        <v>40883</v>
      </c>
      <c r="B706" s="2">
        <v>201112</v>
      </c>
    </row>
    <row r="707" spans="1:2" x14ac:dyDescent="0.35">
      <c r="A707" s="5">
        <v>40884</v>
      </c>
      <c r="B707" s="2">
        <v>201112</v>
      </c>
    </row>
    <row r="708" spans="1:2" x14ac:dyDescent="0.35">
      <c r="A708" s="5">
        <v>40885</v>
      </c>
      <c r="B708" s="2">
        <v>201112</v>
      </c>
    </row>
    <row r="709" spans="1:2" x14ac:dyDescent="0.35">
      <c r="A709" s="5">
        <v>40886</v>
      </c>
      <c r="B709" s="2">
        <v>201112</v>
      </c>
    </row>
    <row r="710" spans="1:2" x14ac:dyDescent="0.35">
      <c r="A710" s="5">
        <v>40887</v>
      </c>
      <c r="B710" s="2">
        <v>201112</v>
      </c>
    </row>
    <row r="711" spans="1:2" x14ac:dyDescent="0.35">
      <c r="A711" s="5">
        <v>40888</v>
      </c>
      <c r="B711" s="2">
        <v>201112</v>
      </c>
    </row>
    <row r="712" spans="1:2" x14ac:dyDescent="0.35">
      <c r="A712" s="5">
        <v>40889</v>
      </c>
      <c r="B712" s="2">
        <v>201112</v>
      </c>
    </row>
    <row r="713" spans="1:2" x14ac:dyDescent="0.35">
      <c r="A713" s="5">
        <v>40890</v>
      </c>
      <c r="B713" s="2">
        <v>201112</v>
      </c>
    </row>
    <row r="714" spans="1:2" x14ac:dyDescent="0.35">
      <c r="A714" s="5">
        <v>40891</v>
      </c>
      <c r="B714" s="2">
        <v>201112</v>
      </c>
    </row>
    <row r="715" spans="1:2" x14ac:dyDescent="0.35">
      <c r="A715" s="5">
        <v>40892</v>
      </c>
      <c r="B715" s="2">
        <v>201112</v>
      </c>
    </row>
    <row r="716" spans="1:2" x14ac:dyDescent="0.35">
      <c r="A716" s="5">
        <v>40893</v>
      </c>
      <c r="B716" s="2">
        <v>201112</v>
      </c>
    </row>
    <row r="717" spans="1:2" x14ac:dyDescent="0.35">
      <c r="A717" s="5">
        <v>40894</v>
      </c>
      <c r="B717" s="2">
        <v>201112</v>
      </c>
    </row>
    <row r="718" spans="1:2" x14ac:dyDescent="0.35">
      <c r="A718" s="5">
        <v>40895</v>
      </c>
      <c r="B718" s="2">
        <v>201112</v>
      </c>
    </row>
    <row r="719" spans="1:2" x14ac:dyDescent="0.35">
      <c r="A719" s="5">
        <v>40896</v>
      </c>
      <c r="B719" s="2">
        <v>201112</v>
      </c>
    </row>
    <row r="720" spans="1:2" x14ac:dyDescent="0.35">
      <c r="A720" s="5">
        <v>40897</v>
      </c>
      <c r="B720" s="2">
        <v>201112</v>
      </c>
    </row>
    <row r="721" spans="1:2" x14ac:dyDescent="0.35">
      <c r="A721" s="5">
        <v>40898</v>
      </c>
      <c r="B721" s="2">
        <v>201112</v>
      </c>
    </row>
    <row r="722" spans="1:2" x14ac:dyDescent="0.35">
      <c r="A722" s="5">
        <v>40899</v>
      </c>
      <c r="B722" s="2">
        <v>201112</v>
      </c>
    </row>
    <row r="723" spans="1:2" x14ac:dyDescent="0.35">
      <c r="A723" s="5">
        <v>40900</v>
      </c>
      <c r="B723" s="2">
        <v>201112</v>
      </c>
    </row>
    <row r="724" spans="1:2" x14ac:dyDescent="0.35">
      <c r="A724" s="5">
        <v>40901</v>
      </c>
      <c r="B724" s="2">
        <v>201112</v>
      </c>
    </row>
    <row r="725" spans="1:2" x14ac:dyDescent="0.35">
      <c r="A725" s="5">
        <v>40902</v>
      </c>
      <c r="B725" s="2">
        <v>201112</v>
      </c>
    </row>
    <row r="726" spans="1:2" x14ac:dyDescent="0.35">
      <c r="A726" s="5">
        <v>40903</v>
      </c>
      <c r="B726" s="2">
        <v>201112</v>
      </c>
    </row>
    <row r="727" spans="1:2" x14ac:dyDescent="0.35">
      <c r="A727" s="5">
        <v>40904</v>
      </c>
      <c r="B727" s="2">
        <v>201112</v>
      </c>
    </row>
    <row r="728" spans="1:2" x14ac:dyDescent="0.35">
      <c r="A728" s="5">
        <v>40905</v>
      </c>
      <c r="B728" s="2">
        <v>201112</v>
      </c>
    </row>
    <row r="729" spans="1:2" x14ac:dyDescent="0.35">
      <c r="A729" s="5">
        <v>40906</v>
      </c>
      <c r="B729" s="2">
        <v>201112</v>
      </c>
    </row>
    <row r="730" spans="1:2" x14ac:dyDescent="0.35">
      <c r="A730" s="5">
        <v>40907</v>
      </c>
      <c r="B730" s="2">
        <v>201112</v>
      </c>
    </row>
    <row r="731" spans="1:2" x14ac:dyDescent="0.35">
      <c r="A731" s="5">
        <v>40908</v>
      </c>
      <c r="B731" s="2">
        <v>201112</v>
      </c>
    </row>
    <row r="732" spans="1:2" x14ac:dyDescent="0.35">
      <c r="A732" s="5">
        <v>40909</v>
      </c>
      <c r="B732" s="2">
        <v>201201</v>
      </c>
    </row>
    <row r="733" spans="1:2" x14ac:dyDescent="0.35">
      <c r="A733" s="5">
        <v>40910</v>
      </c>
      <c r="B733" s="2">
        <v>201201</v>
      </c>
    </row>
    <row r="734" spans="1:2" x14ac:dyDescent="0.35">
      <c r="A734" s="5">
        <v>40911</v>
      </c>
      <c r="B734" s="2">
        <v>201201</v>
      </c>
    </row>
    <row r="735" spans="1:2" x14ac:dyDescent="0.35">
      <c r="A735" s="5">
        <v>40912</v>
      </c>
      <c r="B735" s="2">
        <v>201201</v>
      </c>
    </row>
    <row r="736" spans="1:2" x14ac:dyDescent="0.35">
      <c r="A736" s="5">
        <v>40913</v>
      </c>
      <c r="B736" s="2">
        <v>201201</v>
      </c>
    </row>
    <row r="737" spans="1:2" x14ac:dyDescent="0.35">
      <c r="A737" s="5">
        <v>40914</v>
      </c>
      <c r="B737" s="2">
        <v>201201</v>
      </c>
    </row>
    <row r="738" spans="1:2" x14ac:dyDescent="0.35">
      <c r="A738" s="5">
        <v>40915</v>
      </c>
      <c r="B738" s="2">
        <v>201201</v>
      </c>
    </row>
    <row r="739" spans="1:2" x14ac:dyDescent="0.35">
      <c r="A739" s="5">
        <v>40916</v>
      </c>
      <c r="B739" s="2">
        <v>201201</v>
      </c>
    </row>
    <row r="740" spans="1:2" x14ac:dyDescent="0.35">
      <c r="A740" s="5">
        <v>40917</v>
      </c>
      <c r="B740" s="2">
        <v>201201</v>
      </c>
    </row>
    <row r="741" spans="1:2" x14ac:dyDescent="0.35">
      <c r="A741" s="5">
        <v>40918</v>
      </c>
      <c r="B741" s="2">
        <v>201201</v>
      </c>
    </row>
    <row r="742" spans="1:2" x14ac:dyDescent="0.35">
      <c r="A742" s="5">
        <v>40919</v>
      </c>
      <c r="B742" s="2">
        <v>201201</v>
      </c>
    </row>
    <row r="743" spans="1:2" x14ac:dyDescent="0.35">
      <c r="A743" s="5">
        <v>40920</v>
      </c>
      <c r="B743" s="2">
        <v>201201</v>
      </c>
    </row>
    <row r="744" spans="1:2" x14ac:dyDescent="0.35">
      <c r="A744" s="5">
        <v>40921</v>
      </c>
      <c r="B744" s="2">
        <v>201201</v>
      </c>
    </row>
    <row r="745" spans="1:2" x14ac:dyDescent="0.35">
      <c r="A745" s="5">
        <v>40922</v>
      </c>
      <c r="B745" s="2">
        <v>201201</v>
      </c>
    </row>
    <row r="746" spans="1:2" x14ac:dyDescent="0.35">
      <c r="A746" s="5">
        <v>40923</v>
      </c>
      <c r="B746" s="2">
        <v>201201</v>
      </c>
    </row>
    <row r="747" spans="1:2" x14ac:dyDescent="0.35">
      <c r="A747" s="5">
        <v>40924</v>
      </c>
      <c r="B747" s="2">
        <v>201201</v>
      </c>
    </row>
    <row r="748" spans="1:2" x14ac:dyDescent="0.35">
      <c r="A748" s="5">
        <v>40925</v>
      </c>
      <c r="B748" s="2">
        <v>201201</v>
      </c>
    </row>
    <row r="749" spans="1:2" x14ac:dyDescent="0.35">
      <c r="A749" s="5">
        <v>40926</v>
      </c>
      <c r="B749" s="2">
        <v>201201</v>
      </c>
    </row>
    <row r="750" spans="1:2" x14ac:dyDescent="0.35">
      <c r="A750" s="5">
        <v>40927</v>
      </c>
      <c r="B750" s="2">
        <v>201201</v>
      </c>
    </row>
    <row r="751" spans="1:2" x14ac:dyDescent="0.35">
      <c r="A751" s="5">
        <v>40928</v>
      </c>
      <c r="B751" s="2">
        <v>201201</v>
      </c>
    </row>
    <row r="752" spans="1:2" x14ac:dyDescent="0.35">
      <c r="A752" s="5">
        <v>40929</v>
      </c>
      <c r="B752" s="2">
        <v>201201</v>
      </c>
    </row>
    <row r="753" spans="1:2" x14ac:dyDescent="0.35">
      <c r="A753" s="5">
        <v>40930</v>
      </c>
      <c r="B753" s="2">
        <v>201201</v>
      </c>
    </row>
    <row r="754" spans="1:2" x14ac:dyDescent="0.35">
      <c r="A754" s="5">
        <v>40931</v>
      </c>
      <c r="B754" s="2">
        <v>201201</v>
      </c>
    </row>
    <row r="755" spans="1:2" x14ac:dyDescent="0.35">
      <c r="A755" s="5">
        <v>40932</v>
      </c>
      <c r="B755" s="2">
        <v>201201</v>
      </c>
    </row>
    <row r="756" spans="1:2" x14ac:dyDescent="0.35">
      <c r="A756" s="5">
        <v>40933</v>
      </c>
      <c r="B756" s="2">
        <v>201201</v>
      </c>
    </row>
    <row r="757" spans="1:2" x14ac:dyDescent="0.35">
      <c r="A757" s="5">
        <v>40934</v>
      </c>
      <c r="B757" s="2">
        <v>201201</v>
      </c>
    </row>
    <row r="758" spans="1:2" x14ac:dyDescent="0.35">
      <c r="A758" s="5">
        <v>40935</v>
      </c>
      <c r="B758" s="2">
        <v>201201</v>
      </c>
    </row>
    <row r="759" spans="1:2" x14ac:dyDescent="0.35">
      <c r="A759" s="5">
        <v>40936</v>
      </c>
      <c r="B759" s="2">
        <v>201201</v>
      </c>
    </row>
    <row r="760" spans="1:2" x14ac:dyDescent="0.35">
      <c r="A760" s="5">
        <v>40937</v>
      </c>
      <c r="B760" s="2">
        <v>201201</v>
      </c>
    </row>
    <row r="761" spans="1:2" x14ac:dyDescent="0.35">
      <c r="A761" s="5">
        <v>40938</v>
      </c>
      <c r="B761" s="2">
        <v>201201</v>
      </c>
    </row>
    <row r="762" spans="1:2" x14ac:dyDescent="0.35">
      <c r="A762" s="5">
        <v>40939</v>
      </c>
      <c r="B762" s="2">
        <v>201201</v>
      </c>
    </row>
    <row r="763" spans="1:2" x14ac:dyDescent="0.35">
      <c r="A763" s="5">
        <v>40940</v>
      </c>
      <c r="B763" s="2">
        <v>201202</v>
      </c>
    </row>
    <row r="764" spans="1:2" x14ac:dyDescent="0.35">
      <c r="A764" s="5">
        <v>40941</v>
      </c>
      <c r="B764" s="2">
        <v>201202</v>
      </c>
    </row>
    <row r="765" spans="1:2" x14ac:dyDescent="0.35">
      <c r="A765" s="5">
        <v>40942</v>
      </c>
      <c r="B765" s="2">
        <v>201202</v>
      </c>
    </row>
    <row r="766" spans="1:2" x14ac:dyDescent="0.35">
      <c r="A766" s="5">
        <v>40943</v>
      </c>
      <c r="B766" s="2">
        <v>201202</v>
      </c>
    </row>
    <row r="767" spans="1:2" x14ac:dyDescent="0.35">
      <c r="A767" s="5">
        <v>40944</v>
      </c>
      <c r="B767" s="2">
        <v>201202</v>
      </c>
    </row>
    <row r="768" spans="1:2" x14ac:dyDescent="0.35">
      <c r="A768" s="5">
        <v>40945</v>
      </c>
      <c r="B768" s="2">
        <v>201202</v>
      </c>
    </row>
    <row r="769" spans="1:2" x14ac:dyDescent="0.35">
      <c r="A769" s="5">
        <v>40946</v>
      </c>
      <c r="B769" s="2">
        <v>201202</v>
      </c>
    </row>
    <row r="770" spans="1:2" x14ac:dyDescent="0.35">
      <c r="A770" s="5">
        <v>40947</v>
      </c>
      <c r="B770" s="2">
        <v>201202</v>
      </c>
    </row>
    <row r="771" spans="1:2" x14ac:dyDescent="0.35">
      <c r="A771" s="5">
        <v>40948</v>
      </c>
      <c r="B771" s="2">
        <v>201202</v>
      </c>
    </row>
    <row r="772" spans="1:2" x14ac:dyDescent="0.35">
      <c r="A772" s="5">
        <v>40949</v>
      </c>
      <c r="B772" s="2">
        <v>201202</v>
      </c>
    </row>
    <row r="773" spans="1:2" x14ac:dyDescent="0.35">
      <c r="A773" s="5">
        <v>40950</v>
      </c>
      <c r="B773" s="2">
        <v>201202</v>
      </c>
    </row>
    <row r="774" spans="1:2" x14ac:dyDescent="0.35">
      <c r="A774" s="5">
        <v>40951</v>
      </c>
      <c r="B774" s="2">
        <v>201202</v>
      </c>
    </row>
    <row r="775" spans="1:2" x14ac:dyDescent="0.35">
      <c r="A775" s="5">
        <v>40952</v>
      </c>
      <c r="B775" s="2">
        <v>201202</v>
      </c>
    </row>
    <row r="776" spans="1:2" x14ac:dyDescent="0.35">
      <c r="A776" s="5">
        <v>40953</v>
      </c>
      <c r="B776" s="2">
        <v>201202</v>
      </c>
    </row>
    <row r="777" spans="1:2" x14ac:dyDescent="0.35">
      <c r="A777" s="5">
        <v>40954</v>
      </c>
      <c r="B777" s="2">
        <v>201202</v>
      </c>
    </row>
    <row r="778" spans="1:2" x14ac:dyDescent="0.35">
      <c r="A778" s="5">
        <v>40955</v>
      </c>
      <c r="B778" s="2">
        <v>201202</v>
      </c>
    </row>
    <row r="779" spans="1:2" x14ac:dyDescent="0.35">
      <c r="A779" s="5">
        <v>40956</v>
      </c>
      <c r="B779" s="2">
        <v>201202</v>
      </c>
    </row>
    <row r="780" spans="1:2" x14ac:dyDescent="0.35">
      <c r="A780" s="5">
        <v>40957</v>
      </c>
      <c r="B780" s="2">
        <v>201202</v>
      </c>
    </row>
    <row r="781" spans="1:2" x14ac:dyDescent="0.35">
      <c r="A781" s="5">
        <v>40958</v>
      </c>
      <c r="B781" s="2">
        <v>201202</v>
      </c>
    </row>
    <row r="782" spans="1:2" x14ac:dyDescent="0.35">
      <c r="A782" s="5">
        <v>40959</v>
      </c>
      <c r="B782" s="2">
        <v>201202</v>
      </c>
    </row>
    <row r="783" spans="1:2" x14ac:dyDescent="0.35">
      <c r="A783" s="5">
        <v>40960</v>
      </c>
      <c r="B783" s="2">
        <v>201202</v>
      </c>
    </row>
    <row r="784" spans="1:2" x14ac:dyDescent="0.35">
      <c r="A784" s="5">
        <v>40961</v>
      </c>
      <c r="B784" s="2">
        <v>201202</v>
      </c>
    </row>
    <row r="785" spans="1:2" x14ac:dyDescent="0.35">
      <c r="A785" s="5">
        <v>40962</v>
      </c>
      <c r="B785" s="2">
        <v>201202</v>
      </c>
    </row>
    <row r="786" spans="1:2" x14ac:dyDescent="0.35">
      <c r="A786" s="5">
        <v>40963</v>
      </c>
      <c r="B786" s="2">
        <v>201202</v>
      </c>
    </row>
    <row r="787" spans="1:2" x14ac:dyDescent="0.35">
      <c r="A787" s="5">
        <v>40964</v>
      </c>
      <c r="B787" s="2">
        <v>201202</v>
      </c>
    </row>
    <row r="788" spans="1:2" x14ac:dyDescent="0.35">
      <c r="A788" s="5">
        <v>40965</v>
      </c>
      <c r="B788" s="2">
        <v>201202</v>
      </c>
    </row>
    <row r="789" spans="1:2" x14ac:dyDescent="0.35">
      <c r="A789" s="5">
        <v>40966</v>
      </c>
      <c r="B789" s="2">
        <v>201202</v>
      </c>
    </row>
    <row r="790" spans="1:2" x14ac:dyDescent="0.35">
      <c r="A790" s="5">
        <v>40967</v>
      </c>
      <c r="B790" s="2">
        <v>201202</v>
      </c>
    </row>
    <row r="791" spans="1:2" x14ac:dyDescent="0.35">
      <c r="A791" s="5">
        <v>40968</v>
      </c>
      <c r="B791" s="2">
        <v>201202</v>
      </c>
    </row>
    <row r="792" spans="1:2" x14ac:dyDescent="0.35">
      <c r="A792" s="5">
        <v>40969</v>
      </c>
      <c r="B792" s="2">
        <v>201203</v>
      </c>
    </row>
    <row r="793" spans="1:2" x14ac:dyDescent="0.35">
      <c r="A793" s="5">
        <v>40970</v>
      </c>
      <c r="B793" s="2">
        <v>201203</v>
      </c>
    </row>
    <row r="794" spans="1:2" x14ac:dyDescent="0.35">
      <c r="A794" s="5">
        <v>40971</v>
      </c>
      <c r="B794" s="2">
        <v>201203</v>
      </c>
    </row>
    <row r="795" spans="1:2" x14ac:dyDescent="0.35">
      <c r="A795" s="5">
        <v>40972</v>
      </c>
      <c r="B795" s="2">
        <v>201203</v>
      </c>
    </row>
    <row r="796" spans="1:2" x14ac:dyDescent="0.35">
      <c r="A796" s="5">
        <v>40973</v>
      </c>
      <c r="B796" s="2">
        <v>201203</v>
      </c>
    </row>
    <row r="797" spans="1:2" x14ac:dyDescent="0.35">
      <c r="A797" s="5">
        <v>40974</v>
      </c>
      <c r="B797" s="2">
        <v>201203</v>
      </c>
    </row>
    <row r="798" spans="1:2" x14ac:dyDescent="0.35">
      <c r="A798" s="5">
        <v>40975</v>
      </c>
      <c r="B798" s="2">
        <v>201203</v>
      </c>
    </row>
    <row r="799" spans="1:2" x14ac:dyDescent="0.35">
      <c r="A799" s="5">
        <v>40976</v>
      </c>
      <c r="B799" s="2">
        <v>201203</v>
      </c>
    </row>
    <row r="800" spans="1:2" x14ac:dyDescent="0.35">
      <c r="A800" s="5">
        <v>40977</v>
      </c>
      <c r="B800" s="2">
        <v>201203</v>
      </c>
    </row>
    <row r="801" spans="1:2" x14ac:dyDescent="0.35">
      <c r="A801" s="5">
        <v>40978</v>
      </c>
      <c r="B801" s="2">
        <v>201203</v>
      </c>
    </row>
    <row r="802" spans="1:2" x14ac:dyDescent="0.35">
      <c r="A802" s="5">
        <v>40979</v>
      </c>
      <c r="B802" s="2">
        <v>201203</v>
      </c>
    </row>
    <row r="803" spans="1:2" x14ac:dyDescent="0.35">
      <c r="A803" s="5">
        <v>40980</v>
      </c>
      <c r="B803" s="2">
        <v>201203</v>
      </c>
    </row>
    <row r="804" spans="1:2" x14ac:dyDescent="0.35">
      <c r="A804" s="5">
        <v>40981</v>
      </c>
      <c r="B804" s="2">
        <v>201203</v>
      </c>
    </row>
    <row r="805" spans="1:2" x14ac:dyDescent="0.35">
      <c r="A805" s="5">
        <v>40982</v>
      </c>
      <c r="B805" s="2">
        <v>201203</v>
      </c>
    </row>
    <row r="806" spans="1:2" x14ac:dyDescent="0.35">
      <c r="A806" s="5">
        <v>40983</v>
      </c>
      <c r="B806" s="2">
        <v>201203</v>
      </c>
    </row>
    <row r="807" spans="1:2" x14ac:dyDescent="0.35">
      <c r="A807" s="5">
        <v>40984</v>
      </c>
      <c r="B807" s="2">
        <v>201203</v>
      </c>
    </row>
    <row r="808" spans="1:2" x14ac:dyDescent="0.35">
      <c r="A808" s="5">
        <v>40985</v>
      </c>
      <c r="B808" s="2">
        <v>201203</v>
      </c>
    </row>
    <row r="809" spans="1:2" x14ac:dyDescent="0.35">
      <c r="A809" s="5">
        <v>40986</v>
      </c>
      <c r="B809" s="2">
        <v>201203</v>
      </c>
    </row>
    <row r="810" spans="1:2" x14ac:dyDescent="0.35">
      <c r="A810" s="5">
        <v>40987</v>
      </c>
      <c r="B810" s="2">
        <v>201203</v>
      </c>
    </row>
    <row r="811" spans="1:2" x14ac:dyDescent="0.35">
      <c r="A811" s="5">
        <v>40988</v>
      </c>
      <c r="B811" s="2">
        <v>201203</v>
      </c>
    </row>
    <row r="812" spans="1:2" x14ac:dyDescent="0.35">
      <c r="A812" s="5">
        <v>40989</v>
      </c>
      <c r="B812" s="2">
        <v>201203</v>
      </c>
    </row>
    <row r="813" spans="1:2" x14ac:dyDescent="0.35">
      <c r="A813" s="5">
        <v>40990</v>
      </c>
      <c r="B813" s="2">
        <v>201203</v>
      </c>
    </row>
    <row r="814" spans="1:2" x14ac:dyDescent="0.35">
      <c r="A814" s="5">
        <v>40991</v>
      </c>
      <c r="B814" s="2">
        <v>201203</v>
      </c>
    </row>
    <row r="815" spans="1:2" x14ac:dyDescent="0.35">
      <c r="A815" s="5">
        <v>40992</v>
      </c>
      <c r="B815" s="2">
        <v>201203</v>
      </c>
    </row>
    <row r="816" spans="1:2" x14ac:dyDescent="0.35">
      <c r="A816" s="5">
        <v>40993</v>
      </c>
      <c r="B816" s="2">
        <v>201203</v>
      </c>
    </row>
    <row r="817" spans="1:2" x14ac:dyDescent="0.35">
      <c r="A817" s="5">
        <v>40994</v>
      </c>
      <c r="B817" s="2">
        <v>201203</v>
      </c>
    </row>
    <row r="818" spans="1:2" x14ac:dyDescent="0.35">
      <c r="A818" s="5">
        <v>40995</v>
      </c>
      <c r="B818" s="2">
        <v>201203</v>
      </c>
    </row>
    <row r="819" spans="1:2" x14ac:dyDescent="0.35">
      <c r="A819" s="5">
        <v>40996</v>
      </c>
      <c r="B819" s="2">
        <v>201203</v>
      </c>
    </row>
    <row r="820" spans="1:2" x14ac:dyDescent="0.35">
      <c r="A820" s="5">
        <v>40997</v>
      </c>
      <c r="B820" s="2">
        <v>201203</v>
      </c>
    </row>
    <row r="821" spans="1:2" x14ac:dyDescent="0.35">
      <c r="A821" s="5">
        <v>40998</v>
      </c>
      <c r="B821" s="2">
        <v>201203</v>
      </c>
    </row>
    <row r="822" spans="1:2" x14ac:dyDescent="0.35">
      <c r="A822" s="5">
        <v>40999</v>
      </c>
      <c r="B822" s="2">
        <v>201203</v>
      </c>
    </row>
    <row r="823" spans="1:2" x14ac:dyDescent="0.35">
      <c r="A823" s="5">
        <v>41000</v>
      </c>
      <c r="B823" s="2">
        <v>201204</v>
      </c>
    </row>
    <row r="824" spans="1:2" x14ac:dyDescent="0.35">
      <c r="A824" s="5">
        <v>41001</v>
      </c>
      <c r="B824" s="2">
        <v>201204</v>
      </c>
    </row>
    <row r="825" spans="1:2" x14ac:dyDescent="0.35">
      <c r="A825" s="5">
        <v>41002</v>
      </c>
      <c r="B825" s="2">
        <v>201204</v>
      </c>
    </row>
    <row r="826" spans="1:2" x14ac:dyDescent="0.35">
      <c r="A826" s="5">
        <v>41003</v>
      </c>
      <c r="B826" s="2">
        <v>201204</v>
      </c>
    </row>
    <row r="827" spans="1:2" x14ac:dyDescent="0.35">
      <c r="A827" s="5">
        <v>41004</v>
      </c>
      <c r="B827" s="2">
        <v>201204</v>
      </c>
    </row>
    <row r="828" spans="1:2" x14ac:dyDescent="0.35">
      <c r="A828" s="5">
        <v>41005</v>
      </c>
      <c r="B828" s="2">
        <v>201204</v>
      </c>
    </row>
    <row r="829" spans="1:2" x14ac:dyDescent="0.35">
      <c r="A829" s="5">
        <v>41006</v>
      </c>
      <c r="B829" s="2">
        <v>201204</v>
      </c>
    </row>
    <row r="830" spans="1:2" x14ac:dyDescent="0.35">
      <c r="A830" s="5">
        <v>41007</v>
      </c>
      <c r="B830" s="2">
        <v>201204</v>
      </c>
    </row>
    <row r="831" spans="1:2" x14ac:dyDescent="0.35">
      <c r="A831" s="5">
        <v>41008</v>
      </c>
      <c r="B831" s="2">
        <v>201204</v>
      </c>
    </row>
    <row r="832" spans="1:2" x14ac:dyDescent="0.35">
      <c r="A832" s="5">
        <v>41009</v>
      </c>
      <c r="B832" s="2">
        <v>201204</v>
      </c>
    </row>
    <row r="833" spans="1:2" x14ac:dyDescent="0.35">
      <c r="A833" s="5">
        <v>41010</v>
      </c>
      <c r="B833" s="2">
        <v>201204</v>
      </c>
    </row>
    <row r="834" spans="1:2" x14ac:dyDescent="0.35">
      <c r="A834" s="5">
        <v>41011</v>
      </c>
      <c r="B834" s="2">
        <v>201204</v>
      </c>
    </row>
    <row r="835" spans="1:2" x14ac:dyDescent="0.35">
      <c r="A835" s="5">
        <v>41012</v>
      </c>
      <c r="B835" s="2">
        <v>201204</v>
      </c>
    </row>
    <row r="836" spans="1:2" x14ac:dyDescent="0.35">
      <c r="A836" s="5">
        <v>41013</v>
      </c>
      <c r="B836" s="2">
        <v>201204</v>
      </c>
    </row>
    <row r="837" spans="1:2" x14ac:dyDescent="0.35">
      <c r="A837" s="5">
        <v>41014</v>
      </c>
      <c r="B837" s="2">
        <v>201204</v>
      </c>
    </row>
    <row r="838" spans="1:2" x14ac:dyDescent="0.35">
      <c r="A838" s="5">
        <v>41015</v>
      </c>
      <c r="B838" s="2">
        <v>201204</v>
      </c>
    </row>
    <row r="839" spans="1:2" x14ac:dyDescent="0.35">
      <c r="A839" s="5">
        <v>41016</v>
      </c>
      <c r="B839" s="2">
        <v>201204</v>
      </c>
    </row>
    <row r="840" spans="1:2" x14ac:dyDescent="0.35">
      <c r="A840" s="5">
        <v>41017</v>
      </c>
      <c r="B840" s="2">
        <v>201204</v>
      </c>
    </row>
    <row r="841" spans="1:2" x14ac:dyDescent="0.35">
      <c r="A841" s="5">
        <v>41018</v>
      </c>
      <c r="B841" s="2">
        <v>201204</v>
      </c>
    </row>
    <row r="842" spans="1:2" x14ac:dyDescent="0.35">
      <c r="A842" s="5">
        <v>41019</v>
      </c>
      <c r="B842" s="2">
        <v>201204</v>
      </c>
    </row>
    <row r="843" spans="1:2" x14ac:dyDescent="0.35">
      <c r="A843" s="5">
        <v>41020</v>
      </c>
      <c r="B843" s="2">
        <v>201204</v>
      </c>
    </row>
    <row r="844" spans="1:2" x14ac:dyDescent="0.35">
      <c r="A844" s="5">
        <v>41021</v>
      </c>
      <c r="B844" s="2">
        <v>201204</v>
      </c>
    </row>
    <row r="845" spans="1:2" x14ac:dyDescent="0.35">
      <c r="A845" s="5">
        <v>41022</v>
      </c>
      <c r="B845" s="2">
        <v>201204</v>
      </c>
    </row>
    <row r="846" spans="1:2" x14ac:dyDescent="0.35">
      <c r="A846" s="5">
        <v>41023</v>
      </c>
      <c r="B846" s="2">
        <v>201204</v>
      </c>
    </row>
    <row r="847" spans="1:2" x14ac:dyDescent="0.35">
      <c r="A847" s="5">
        <v>41024</v>
      </c>
      <c r="B847" s="2">
        <v>201204</v>
      </c>
    </row>
    <row r="848" spans="1:2" x14ac:dyDescent="0.35">
      <c r="A848" s="5">
        <v>41025</v>
      </c>
      <c r="B848" s="2">
        <v>201204</v>
      </c>
    </row>
    <row r="849" spans="1:2" x14ac:dyDescent="0.35">
      <c r="A849" s="5">
        <v>41026</v>
      </c>
      <c r="B849" s="2">
        <v>201204</v>
      </c>
    </row>
    <row r="850" spans="1:2" x14ac:dyDescent="0.35">
      <c r="A850" s="5">
        <v>41027</v>
      </c>
      <c r="B850" s="2">
        <v>201204</v>
      </c>
    </row>
    <row r="851" spans="1:2" x14ac:dyDescent="0.35">
      <c r="A851" s="5">
        <v>41028</v>
      </c>
      <c r="B851" s="2">
        <v>201204</v>
      </c>
    </row>
    <row r="852" spans="1:2" x14ac:dyDescent="0.35">
      <c r="A852" s="5">
        <v>41029</v>
      </c>
      <c r="B852" s="2">
        <v>201204</v>
      </c>
    </row>
    <row r="853" spans="1:2" x14ac:dyDescent="0.35">
      <c r="A853" s="5">
        <v>41030</v>
      </c>
      <c r="B853" s="2">
        <v>201205</v>
      </c>
    </row>
    <row r="854" spans="1:2" x14ac:dyDescent="0.35">
      <c r="A854" s="5">
        <v>41031</v>
      </c>
      <c r="B854" s="2">
        <v>201205</v>
      </c>
    </row>
    <row r="855" spans="1:2" x14ac:dyDescent="0.35">
      <c r="A855" s="5">
        <v>41032</v>
      </c>
      <c r="B855" s="2">
        <v>201205</v>
      </c>
    </row>
    <row r="856" spans="1:2" x14ac:dyDescent="0.35">
      <c r="A856" s="5">
        <v>41033</v>
      </c>
      <c r="B856" s="2">
        <v>201205</v>
      </c>
    </row>
    <row r="857" spans="1:2" x14ac:dyDescent="0.35">
      <c r="A857" s="5">
        <v>41034</v>
      </c>
      <c r="B857" s="2">
        <v>201205</v>
      </c>
    </row>
    <row r="858" spans="1:2" x14ac:dyDescent="0.35">
      <c r="A858" s="5">
        <v>41035</v>
      </c>
      <c r="B858" s="2">
        <v>201205</v>
      </c>
    </row>
    <row r="859" spans="1:2" x14ac:dyDescent="0.35">
      <c r="A859" s="5">
        <v>41036</v>
      </c>
      <c r="B859" s="2">
        <v>201205</v>
      </c>
    </row>
    <row r="860" spans="1:2" x14ac:dyDescent="0.35">
      <c r="A860" s="5">
        <v>41037</v>
      </c>
      <c r="B860" s="2">
        <v>201205</v>
      </c>
    </row>
    <row r="861" spans="1:2" x14ac:dyDescent="0.35">
      <c r="A861" s="5">
        <v>41038</v>
      </c>
      <c r="B861" s="2">
        <v>201205</v>
      </c>
    </row>
    <row r="862" spans="1:2" x14ac:dyDescent="0.35">
      <c r="A862" s="5">
        <v>41039</v>
      </c>
      <c r="B862" s="2">
        <v>201205</v>
      </c>
    </row>
    <row r="863" spans="1:2" x14ac:dyDescent="0.35">
      <c r="A863" s="5">
        <v>41040</v>
      </c>
      <c r="B863" s="2">
        <v>201205</v>
      </c>
    </row>
    <row r="864" spans="1:2" x14ac:dyDescent="0.35">
      <c r="A864" s="5">
        <v>41041</v>
      </c>
      <c r="B864" s="2">
        <v>201205</v>
      </c>
    </row>
    <row r="865" spans="1:2" x14ac:dyDescent="0.35">
      <c r="A865" s="5">
        <v>41042</v>
      </c>
      <c r="B865" s="2">
        <v>201205</v>
      </c>
    </row>
    <row r="866" spans="1:2" x14ac:dyDescent="0.35">
      <c r="A866" s="5">
        <v>41043</v>
      </c>
      <c r="B866" s="2">
        <v>201205</v>
      </c>
    </row>
    <row r="867" spans="1:2" x14ac:dyDescent="0.35">
      <c r="A867" s="5">
        <v>41044</v>
      </c>
      <c r="B867" s="2">
        <v>201205</v>
      </c>
    </row>
    <row r="868" spans="1:2" x14ac:dyDescent="0.35">
      <c r="A868" s="5">
        <v>41045</v>
      </c>
      <c r="B868" s="2">
        <v>201205</v>
      </c>
    </row>
    <row r="869" spans="1:2" x14ac:dyDescent="0.35">
      <c r="A869" s="5">
        <v>41046</v>
      </c>
      <c r="B869" s="2">
        <v>201205</v>
      </c>
    </row>
    <row r="870" spans="1:2" x14ac:dyDescent="0.35">
      <c r="A870" s="5">
        <v>41047</v>
      </c>
      <c r="B870" s="2">
        <v>201205</v>
      </c>
    </row>
    <row r="871" spans="1:2" x14ac:dyDescent="0.35">
      <c r="A871" s="5">
        <v>41048</v>
      </c>
      <c r="B871" s="2">
        <v>201205</v>
      </c>
    </row>
    <row r="872" spans="1:2" x14ac:dyDescent="0.35">
      <c r="A872" s="5">
        <v>41049</v>
      </c>
      <c r="B872" s="2">
        <v>201205</v>
      </c>
    </row>
    <row r="873" spans="1:2" x14ac:dyDescent="0.35">
      <c r="A873" s="5">
        <v>41050</v>
      </c>
      <c r="B873" s="2">
        <v>201205</v>
      </c>
    </row>
    <row r="874" spans="1:2" x14ac:dyDescent="0.35">
      <c r="A874" s="5">
        <v>41051</v>
      </c>
      <c r="B874" s="2">
        <v>201205</v>
      </c>
    </row>
    <row r="875" spans="1:2" x14ac:dyDescent="0.35">
      <c r="A875" s="5">
        <v>41052</v>
      </c>
      <c r="B875" s="2">
        <v>201205</v>
      </c>
    </row>
    <row r="876" spans="1:2" x14ac:dyDescent="0.35">
      <c r="A876" s="5">
        <v>41053</v>
      </c>
      <c r="B876" s="2">
        <v>201205</v>
      </c>
    </row>
    <row r="877" spans="1:2" x14ac:dyDescent="0.35">
      <c r="A877" s="5">
        <v>41054</v>
      </c>
      <c r="B877" s="2">
        <v>201205</v>
      </c>
    </row>
    <row r="878" spans="1:2" x14ac:dyDescent="0.35">
      <c r="A878" s="5">
        <v>41055</v>
      </c>
      <c r="B878" s="2">
        <v>201205</v>
      </c>
    </row>
    <row r="879" spans="1:2" x14ac:dyDescent="0.35">
      <c r="A879" s="5">
        <v>41056</v>
      </c>
      <c r="B879" s="2">
        <v>201205</v>
      </c>
    </row>
    <row r="880" spans="1:2" x14ac:dyDescent="0.35">
      <c r="A880" s="5">
        <v>41057</v>
      </c>
      <c r="B880" s="2">
        <v>201205</v>
      </c>
    </row>
    <row r="881" spans="1:2" x14ac:dyDescent="0.35">
      <c r="A881" s="5">
        <v>41058</v>
      </c>
      <c r="B881" s="2">
        <v>201205</v>
      </c>
    </row>
    <row r="882" spans="1:2" x14ac:dyDescent="0.35">
      <c r="A882" s="5">
        <v>41059</v>
      </c>
      <c r="B882" s="2">
        <v>201205</v>
      </c>
    </row>
    <row r="883" spans="1:2" x14ac:dyDescent="0.35">
      <c r="A883" s="5">
        <v>41060</v>
      </c>
      <c r="B883" s="2">
        <v>201205</v>
      </c>
    </row>
    <row r="884" spans="1:2" x14ac:dyDescent="0.35">
      <c r="A884" s="5">
        <v>41061</v>
      </c>
      <c r="B884" s="2">
        <v>201206</v>
      </c>
    </row>
    <row r="885" spans="1:2" x14ac:dyDescent="0.35">
      <c r="A885" s="5">
        <v>41062</v>
      </c>
      <c r="B885" s="2">
        <v>201206</v>
      </c>
    </row>
    <row r="886" spans="1:2" x14ac:dyDescent="0.35">
      <c r="A886" s="5">
        <v>41063</v>
      </c>
      <c r="B886" s="2">
        <v>201206</v>
      </c>
    </row>
    <row r="887" spans="1:2" x14ac:dyDescent="0.35">
      <c r="A887" s="5">
        <v>41064</v>
      </c>
      <c r="B887" s="2">
        <v>201206</v>
      </c>
    </row>
    <row r="888" spans="1:2" x14ac:dyDescent="0.35">
      <c r="A888" s="5">
        <v>41065</v>
      </c>
      <c r="B888" s="2">
        <v>201206</v>
      </c>
    </row>
    <row r="889" spans="1:2" x14ac:dyDescent="0.35">
      <c r="A889" s="5">
        <v>41066</v>
      </c>
      <c r="B889" s="2">
        <v>201206</v>
      </c>
    </row>
    <row r="890" spans="1:2" x14ac:dyDescent="0.35">
      <c r="A890" s="5">
        <v>41067</v>
      </c>
      <c r="B890" s="2">
        <v>201206</v>
      </c>
    </row>
    <row r="891" spans="1:2" x14ac:dyDescent="0.35">
      <c r="A891" s="5">
        <v>41068</v>
      </c>
      <c r="B891" s="2">
        <v>201206</v>
      </c>
    </row>
    <row r="892" spans="1:2" x14ac:dyDescent="0.35">
      <c r="A892" s="5">
        <v>41069</v>
      </c>
      <c r="B892" s="2">
        <v>201206</v>
      </c>
    </row>
    <row r="893" spans="1:2" x14ac:dyDescent="0.35">
      <c r="A893" s="5">
        <v>41070</v>
      </c>
      <c r="B893" s="2">
        <v>201206</v>
      </c>
    </row>
    <row r="894" spans="1:2" x14ac:dyDescent="0.35">
      <c r="A894" s="5">
        <v>41071</v>
      </c>
      <c r="B894" s="2">
        <v>201206</v>
      </c>
    </row>
    <row r="895" spans="1:2" x14ac:dyDescent="0.35">
      <c r="A895" s="5">
        <v>41072</v>
      </c>
      <c r="B895" s="2">
        <v>201206</v>
      </c>
    </row>
    <row r="896" spans="1:2" x14ac:dyDescent="0.35">
      <c r="A896" s="5">
        <v>41073</v>
      </c>
      <c r="B896" s="2">
        <v>201206</v>
      </c>
    </row>
    <row r="897" spans="1:2" x14ac:dyDescent="0.35">
      <c r="A897" s="5">
        <v>41074</v>
      </c>
      <c r="B897" s="2">
        <v>201206</v>
      </c>
    </row>
    <row r="898" spans="1:2" x14ac:dyDescent="0.35">
      <c r="A898" s="5">
        <v>41075</v>
      </c>
      <c r="B898" s="2">
        <v>201206</v>
      </c>
    </row>
    <row r="899" spans="1:2" x14ac:dyDescent="0.35">
      <c r="A899" s="5">
        <v>41076</v>
      </c>
      <c r="B899" s="2">
        <v>201206</v>
      </c>
    </row>
    <row r="900" spans="1:2" x14ac:dyDescent="0.35">
      <c r="A900" s="5">
        <v>41077</v>
      </c>
      <c r="B900" s="2">
        <v>201206</v>
      </c>
    </row>
    <row r="901" spans="1:2" x14ac:dyDescent="0.35">
      <c r="A901" s="5">
        <v>41078</v>
      </c>
      <c r="B901" s="2">
        <v>201206</v>
      </c>
    </row>
    <row r="902" spans="1:2" x14ac:dyDescent="0.35">
      <c r="A902" s="5">
        <v>41079</v>
      </c>
      <c r="B902" s="2">
        <v>201206</v>
      </c>
    </row>
    <row r="903" spans="1:2" x14ac:dyDescent="0.35">
      <c r="A903" s="5">
        <v>41080</v>
      </c>
      <c r="B903" s="2">
        <v>201206</v>
      </c>
    </row>
    <row r="904" spans="1:2" x14ac:dyDescent="0.35">
      <c r="A904" s="5">
        <v>41081</v>
      </c>
      <c r="B904" s="2">
        <v>201206</v>
      </c>
    </row>
    <row r="905" spans="1:2" x14ac:dyDescent="0.35">
      <c r="A905" s="5">
        <v>41082</v>
      </c>
      <c r="B905" s="2">
        <v>201206</v>
      </c>
    </row>
    <row r="906" spans="1:2" x14ac:dyDescent="0.35">
      <c r="A906" s="5">
        <v>41083</v>
      </c>
      <c r="B906" s="2">
        <v>201206</v>
      </c>
    </row>
    <row r="907" spans="1:2" x14ac:dyDescent="0.35">
      <c r="A907" s="5">
        <v>41084</v>
      </c>
      <c r="B907" s="2">
        <v>201206</v>
      </c>
    </row>
    <row r="908" spans="1:2" x14ac:dyDescent="0.35">
      <c r="A908" s="5">
        <v>41085</v>
      </c>
      <c r="B908" s="2">
        <v>201206</v>
      </c>
    </row>
    <row r="909" spans="1:2" x14ac:dyDescent="0.35">
      <c r="A909" s="5">
        <v>41086</v>
      </c>
      <c r="B909" s="2">
        <v>201206</v>
      </c>
    </row>
    <row r="910" spans="1:2" x14ac:dyDescent="0.35">
      <c r="A910" s="5">
        <v>41087</v>
      </c>
      <c r="B910" s="2">
        <v>201206</v>
      </c>
    </row>
    <row r="911" spans="1:2" x14ac:dyDescent="0.35">
      <c r="A911" s="5">
        <v>41088</v>
      </c>
      <c r="B911" s="2">
        <v>201206</v>
      </c>
    </row>
    <row r="912" spans="1:2" x14ac:dyDescent="0.35">
      <c r="A912" s="5">
        <v>41089</v>
      </c>
      <c r="B912" s="2">
        <v>201206</v>
      </c>
    </row>
    <row r="913" spans="1:2" x14ac:dyDescent="0.35">
      <c r="A913" s="5">
        <v>41090</v>
      </c>
      <c r="B913" s="2">
        <v>201206</v>
      </c>
    </row>
    <row r="914" spans="1:2" x14ac:dyDescent="0.35">
      <c r="A914" s="5">
        <v>41091</v>
      </c>
      <c r="B914" s="2">
        <v>201207</v>
      </c>
    </row>
    <row r="915" spans="1:2" x14ac:dyDescent="0.35">
      <c r="A915" s="5">
        <v>41092</v>
      </c>
      <c r="B915" s="2">
        <v>201207</v>
      </c>
    </row>
    <row r="916" spans="1:2" x14ac:dyDescent="0.35">
      <c r="A916" s="5">
        <v>41093</v>
      </c>
      <c r="B916" s="2">
        <v>201207</v>
      </c>
    </row>
    <row r="917" spans="1:2" x14ac:dyDescent="0.35">
      <c r="A917" s="5">
        <v>41094</v>
      </c>
      <c r="B917" s="2">
        <v>201207</v>
      </c>
    </row>
    <row r="918" spans="1:2" x14ac:dyDescent="0.35">
      <c r="A918" s="5">
        <v>41095</v>
      </c>
      <c r="B918" s="2">
        <v>201207</v>
      </c>
    </row>
    <row r="919" spans="1:2" x14ac:dyDescent="0.35">
      <c r="A919" s="5">
        <v>41096</v>
      </c>
      <c r="B919" s="2">
        <v>201207</v>
      </c>
    </row>
    <row r="920" spans="1:2" x14ac:dyDescent="0.35">
      <c r="A920" s="5">
        <v>41097</v>
      </c>
      <c r="B920" s="2">
        <v>201207</v>
      </c>
    </row>
    <row r="921" spans="1:2" x14ac:dyDescent="0.35">
      <c r="A921" s="5">
        <v>41098</v>
      </c>
      <c r="B921" s="2">
        <v>201207</v>
      </c>
    </row>
    <row r="922" spans="1:2" x14ac:dyDescent="0.35">
      <c r="A922" s="5">
        <v>41099</v>
      </c>
      <c r="B922" s="2">
        <v>201207</v>
      </c>
    </row>
    <row r="923" spans="1:2" x14ac:dyDescent="0.35">
      <c r="A923" s="5">
        <v>41100</v>
      </c>
      <c r="B923" s="2">
        <v>201207</v>
      </c>
    </row>
    <row r="924" spans="1:2" x14ac:dyDescent="0.35">
      <c r="A924" s="5">
        <v>41101</v>
      </c>
      <c r="B924" s="2">
        <v>201207</v>
      </c>
    </row>
    <row r="925" spans="1:2" x14ac:dyDescent="0.35">
      <c r="A925" s="5">
        <v>41102</v>
      </c>
      <c r="B925" s="2">
        <v>201207</v>
      </c>
    </row>
    <row r="926" spans="1:2" x14ac:dyDescent="0.35">
      <c r="A926" s="5">
        <v>41103</v>
      </c>
      <c r="B926" s="2">
        <v>201207</v>
      </c>
    </row>
    <row r="927" spans="1:2" x14ac:dyDescent="0.35">
      <c r="A927" s="5">
        <v>41104</v>
      </c>
      <c r="B927" s="2">
        <v>201207</v>
      </c>
    </row>
    <row r="928" spans="1:2" x14ac:dyDescent="0.35">
      <c r="A928" s="5">
        <v>41105</v>
      </c>
      <c r="B928" s="2">
        <v>201207</v>
      </c>
    </row>
    <row r="929" spans="1:2" x14ac:dyDescent="0.35">
      <c r="A929" s="5">
        <v>41106</v>
      </c>
      <c r="B929" s="2">
        <v>201207</v>
      </c>
    </row>
    <row r="930" spans="1:2" x14ac:dyDescent="0.35">
      <c r="A930" s="5">
        <v>41107</v>
      </c>
      <c r="B930" s="2">
        <v>201207</v>
      </c>
    </row>
    <row r="931" spans="1:2" x14ac:dyDescent="0.35">
      <c r="A931" s="5">
        <v>41108</v>
      </c>
      <c r="B931" s="2">
        <v>201207</v>
      </c>
    </row>
    <row r="932" spans="1:2" x14ac:dyDescent="0.35">
      <c r="A932" s="5">
        <v>41109</v>
      </c>
      <c r="B932" s="2">
        <v>201207</v>
      </c>
    </row>
    <row r="933" spans="1:2" x14ac:dyDescent="0.35">
      <c r="A933" s="5">
        <v>41110</v>
      </c>
      <c r="B933" s="2">
        <v>201207</v>
      </c>
    </row>
    <row r="934" spans="1:2" x14ac:dyDescent="0.35">
      <c r="A934" s="5">
        <v>41111</v>
      </c>
      <c r="B934" s="2">
        <v>201207</v>
      </c>
    </row>
    <row r="935" spans="1:2" x14ac:dyDescent="0.35">
      <c r="A935" s="5">
        <v>41112</v>
      </c>
      <c r="B935" s="2">
        <v>201207</v>
      </c>
    </row>
    <row r="936" spans="1:2" x14ac:dyDescent="0.35">
      <c r="A936" s="5">
        <v>41113</v>
      </c>
      <c r="B936" s="2">
        <v>201207</v>
      </c>
    </row>
    <row r="937" spans="1:2" x14ac:dyDescent="0.35">
      <c r="A937" s="5">
        <v>41114</v>
      </c>
      <c r="B937" s="2">
        <v>201207</v>
      </c>
    </row>
    <row r="938" spans="1:2" x14ac:dyDescent="0.35">
      <c r="A938" s="5">
        <v>41115</v>
      </c>
      <c r="B938" s="2">
        <v>201207</v>
      </c>
    </row>
    <row r="939" spans="1:2" x14ac:dyDescent="0.35">
      <c r="A939" s="5">
        <v>41116</v>
      </c>
      <c r="B939" s="2">
        <v>201207</v>
      </c>
    </row>
    <row r="940" spans="1:2" x14ac:dyDescent="0.35">
      <c r="A940" s="5">
        <v>41117</v>
      </c>
      <c r="B940" s="2">
        <v>201207</v>
      </c>
    </row>
    <row r="941" spans="1:2" x14ac:dyDescent="0.35">
      <c r="A941" s="5">
        <v>41118</v>
      </c>
      <c r="B941" s="2">
        <v>201207</v>
      </c>
    </row>
    <row r="942" spans="1:2" x14ac:dyDescent="0.35">
      <c r="A942" s="5">
        <v>41119</v>
      </c>
      <c r="B942" s="2">
        <v>201207</v>
      </c>
    </row>
    <row r="943" spans="1:2" x14ac:dyDescent="0.35">
      <c r="A943" s="5">
        <v>41120</v>
      </c>
      <c r="B943" s="2">
        <v>201207</v>
      </c>
    </row>
    <row r="944" spans="1:2" x14ac:dyDescent="0.35">
      <c r="A944" s="5">
        <v>41121</v>
      </c>
      <c r="B944" s="2">
        <v>201207</v>
      </c>
    </row>
    <row r="945" spans="1:2" x14ac:dyDescent="0.35">
      <c r="A945" s="5">
        <v>41122</v>
      </c>
      <c r="B945" s="2">
        <v>201208</v>
      </c>
    </row>
    <row r="946" spans="1:2" x14ac:dyDescent="0.35">
      <c r="A946" s="5">
        <v>41123</v>
      </c>
      <c r="B946" s="2">
        <v>201208</v>
      </c>
    </row>
    <row r="947" spans="1:2" x14ac:dyDescent="0.35">
      <c r="A947" s="5">
        <v>41124</v>
      </c>
      <c r="B947" s="2">
        <v>201208</v>
      </c>
    </row>
    <row r="948" spans="1:2" x14ac:dyDescent="0.35">
      <c r="A948" s="5">
        <v>41125</v>
      </c>
      <c r="B948" s="2">
        <v>201208</v>
      </c>
    </row>
    <row r="949" spans="1:2" x14ac:dyDescent="0.35">
      <c r="A949" s="5">
        <v>41126</v>
      </c>
      <c r="B949" s="2">
        <v>201208</v>
      </c>
    </row>
    <row r="950" spans="1:2" x14ac:dyDescent="0.35">
      <c r="A950" s="5">
        <v>41127</v>
      </c>
      <c r="B950" s="2">
        <v>201208</v>
      </c>
    </row>
    <row r="951" spans="1:2" x14ac:dyDescent="0.35">
      <c r="A951" s="5">
        <v>41128</v>
      </c>
      <c r="B951" s="2">
        <v>201208</v>
      </c>
    </row>
    <row r="952" spans="1:2" x14ac:dyDescent="0.35">
      <c r="A952" s="5">
        <v>41129</v>
      </c>
      <c r="B952" s="2">
        <v>201208</v>
      </c>
    </row>
    <row r="953" spans="1:2" x14ac:dyDescent="0.35">
      <c r="A953" s="5">
        <v>41130</v>
      </c>
      <c r="B953" s="2">
        <v>201208</v>
      </c>
    </row>
    <row r="954" spans="1:2" x14ac:dyDescent="0.35">
      <c r="A954" s="5">
        <v>41131</v>
      </c>
      <c r="B954" s="2">
        <v>201208</v>
      </c>
    </row>
    <row r="955" spans="1:2" x14ac:dyDescent="0.35">
      <c r="A955" s="5">
        <v>41132</v>
      </c>
      <c r="B955" s="2">
        <v>201208</v>
      </c>
    </row>
    <row r="956" spans="1:2" x14ac:dyDescent="0.35">
      <c r="A956" s="5">
        <v>41133</v>
      </c>
      <c r="B956" s="2">
        <v>201208</v>
      </c>
    </row>
    <row r="957" spans="1:2" x14ac:dyDescent="0.35">
      <c r="A957" s="5">
        <v>41134</v>
      </c>
      <c r="B957" s="2">
        <v>201208</v>
      </c>
    </row>
    <row r="958" spans="1:2" x14ac:dyDescent="0.35">
      <c r="A958" s="5">
        <v>41135</v>
      </c>
      <c r="B958" s="2">
        <v>201208</v>
      </c>
    </row>
    <row r="959" spans="1:2" x14ac:dyDescent="0.35">
      <c r="A959" s="5">
        <v>41136</v>
      </c>
      <c r="B959" s="2">
        <v>201208</v>
      </c>
    </row>
    <row r="960" spans="1:2" x14ac:dyDescent="0.35">
      <c r="A960" s="5">
        <v>41137</v>
      </c>
      <c r="B960" s="2">
        <v>201208</v>
      </c>
    </row>
    <row r="961" spans="1:2" x14ac:dyDescent="0.35">
      <c r="A961" s="5">
        <v>41138</v>
      </c>
      <c r="B961" s="2">
        <v>201208</v>
      </c>
    </row>
    <row r="962" spans="1:2" x14ac:dyDescent="0.35">
      <c r="A962" s="5">
        <v>41139</v>
      </c>
      <c r="B962" s="2">
        <v>201208</v>
      </c>
    </row>
    <row r="963" spans="1:2" x14ac:dyDescent="0.35">
      <c r="A963" s="5">
        <v>41140</v>
      </c>
      <c r="B963" s="2">
        <v>201208</v>
      </c>
    </row>
    <row r="964" spans="1:2" x14ac:dyDescent="0.35">
      <c r="A964" s="5">
        <v>41141</v>
      </c>
      <c r="B964" s="2">
        <v>201208</v>
      </c>
    </row>
    <row r="965" spans="1:2" x14ac:dyDescent="0.35">
      <c r="A965" s="5">
        <v>41142</v>
      </c>
      <c r="B965" s="2">
        <v>201208</v>
      </c>
    </row>
    <row r="966" spans="1:2" x14ac:dyDescent="0.35">
      <c r="A966" s="5">
        <v>41143</v>
      </c>
      <c r="B966" s="2">
        <v>201208</v>
      </c>
    </row>
    <row r="967" spans="1:2" x14ac:dyDescent="0.35">
      <c r="A967" s="5">
        <v>41144</v>
      </c>
      <c r="B967" s="2">
        <v>201208</v>
      </c>
    </row>
    <row r="968" spans="1:2" x14ac:dyDescent="0.35">
      <c r="A968" s="5">
        <v>41145</v>
      </c>
      <c r="B968" s="2">
        <v>201208</v>
      </c>
    </row>
    <row r="969" spans="1:2" x14ac:dyDescent="0.35">
      <c r="A969" s="5">
        <v>41146</v>
      </c>
      <c r="B969" s="2">
        <v>201208</v>
      </c>
    </row>
    <row r="970" spans="1:2" x14ac:dyDescent="0.35">
      <c r="A970" s="5">
        <v>41147</v>
      </c>
      <c r="B970" s="2">
        <v>201208</v>
      </c>
    </row>
    <row r="971" spans="1:2" x14ac:dyDescent="0.35">
      <c r="A971" s="5">
        <v>41148</v>
      </c>
      <c r="B971" s="2">
        <v>201208</v>
      </c>
    </row>
    <row r="972" spans="1:2" x14ac:dyDescent="0.35">
      <c r="A972" s="5">
        <v>41149</v>
      </c>
      <c r="B972" s="2">
        <v>201208</v>
      </c>
    </row>
    <row r="973" spans="1:2" x14ac:dyDescent="0.35">
      <c r="A973" s="5">
        <v>41150</v>
      </c>
      <c r="B973" s="2">
        <v>201208</v>
      </c>
    </row>
    <row r="974" spans="1:2" x14ac:dyDescent="0.35">
      <c r="A974" s="5">
        <v>41151</v>
      </c>
      <c r="B974" s="2">
        <v>201208</v>
      </c>
    </row>
    <row r="975" spans="1:2" x14ac:dyDescent="0.35">
      <c r="A975" s="5">
        <v>41152</v>
      </c>
      <c r="B975" s="2">
        <v>201208</v>
      </c>
    </row>
    <row r="976" spans="1:2" x14ac:dyDescent="0.35">
      <c r="A976" s="5">
        <v>41153</v>
      </c>
      <c r="B976" s="2">
        <v>201209</v>
      </c>
    </row>
    <row r="977" spans="1:2" x14ac:dyDescent="0.35">
      <c r="A977" s="5">
        <v>41154</v>
      </c>
      <c r="B977" s="2">
        <v>201209</v>
      </c>
    </row>
    <row r="978" spans="1:2" x14ac:dyDescent="0.35">
      <c r="A978" s="5">
        <v>41155</v>
      </c>
      <c r="B978" s="2">
        <v>201209</v>
      </c>
    </row>
    <row r="979" spans="1:2" x14ac:dyDescent="0.35">
      <c r="A979" s="5">
        <v>41156</v>
      </c>
      <c r="B979" s="2">
        <v>201209</v>
      </c>
    </row>
    <row r="980" spans="1:2" x14ac:dyDescent="0.35">
      <c r="A980" s="5">
        <v>41157</v>
      </c>
      <c r="B980" s="2">
        <v>201209</v>
      </c>
    </row>
    <row r="981" spans="1:2" x14ac:dyDescent="0.35">
      <c r="A981" s="5">
        <v>41158</v>
      </c>
      <c r="B981" s="2">
        <v>201209</v>
      </c>
    </row>
    <row r="982" spans="1:2" x14ac:dyDescent="0.35">
      <c r="A982" s="5">
        <v>41159</v>
      </c>
      <c r="B982" s="2">
        <v>201209</v>
      </c>
    </row>
    <row r="983" spans="1:2" x14ac:dyDescent="0.35">
      <c r="A983" s="5">
        <v>41160</v>
      </c>
      <c r="B983" s="2">
        <v>201209</v>
      </c>
    </row>
    <row r="984" spans="1:2" x14ac:dyDescent="0.35">
      <c r="A984" s="5">
        <v>41161</v>
      </c>
      <c r="B984" s="2">
        <v>201209</v>
      </c>
    </row>
    <row r="985" spans="1:2" x14ac:dyDescent="0.35">
      <c r="A985" s="5">
        <v>41162</v>
      </c>
      <c r="B985" s="2">
        <v>201209</v>
      </c>
    </row>
    <row r="986" spans="1:2" x14ac:dyDescent="0.35">
      <c r="A986" s="5">
        <v>41163</v>
      </c>
      <c r="B986" s="2">
        <v>201209</v>
      </c>
    </row>
    <row r="987" spans="1:2" x14ac:dyDescent="0.35">
      <c r="A987" s="5">
        <v>41164</v>
      </c>
      <c r="B987" s="2">
        <v>201209</v>
      </c>
    </row>
    <row r="988" spans="1:2" x14ac:dyDescent="0.35">
      <c r="A988" s="5">
        <v>41165</v>
      </c>
      <c r="B988" s="2">
        <v>201209</v>
      </c>
    </row>
    <row r="989" spans="1:2" x14ac:dyDescent="0.35">
      <c r="A989" s="5">
        <v>41166</v>
      </c>
      <c r="B989" s="2">
        <v>201209</v>
      </c>
    </row>
    <row r="990" spans="1:2" x14ac:dyDescent="0.35">
      <c r="A990" s="5">
        <v>41167</v>
      </c>
      <c r="B990" s="2">
        <v>201209</v>
      </c>
    </row>
    <row r="991" spans="1:2" x14ac:dyDescent="0.35">
      <c r="A991" s="5">
        <v>41168</v>
      </c>
      <c r="B991" s="2">
        <v>201209</v>
      </c>
    </row>
    <row r="992" spans="1:2" x14ac:dyDescent="0.35">
      <c r="A992" s="5">
        <v>41169</v>
      </c>
      <c r="B992" s="2">
        <v>201209</v>
      </c>
    </row>
    <row r="993" spans="1:2" x14ac:dyDescent="0.35">
      <c r="A993" s="5">
        <v>41170</v>
      </c>
      <c r="B993" s="2">
        <v>201209</v>
      </c>
    </row>
    <row r="994" spans="1:2" x14ac:dyDescent="0.35">
      <c r="A994" s="5">
        <v>41171</v>
      </c>
      <c r="B994" s="2">
        <v>201209</v>
      </c>
    </row>
    <row r="995" spans="1:2" x14ac:dyDescent="0.35">
      <c r="A995" s="5">
        <v>41172</v>
      </c>
      <c r="B995" s="2">
        <v>201209</v>
      </c>
    </row>
    <row r="996" spans="1:2" x14ac:dyDescent="0.35">
      <c r="A996" s="5">
        <v>41173</v>
      </c>
      <c r="B996" s="2">
        <v>201209</v>
      </c>
    </row>
    <row r="997" spans="1:2" x14ac:dyDescent="0.35">
      <c r="A997" s="5">
        <v>41174</v>
      </c>
      <c r="B997" s="2">
        <v>201209</v>
      </c>
    </row>
    <row r="998" spans="1:2" x14ac:dyDescent="0.35">
      <c r="A998" s="5">
        <v>41175</v>
      </c>
      <c r="B998" s="2">
        <v>201209</v>
      </c>
    </row>
    <row r="999" spans="1:2" x14ac:dyDescent="0.35">
      <c r="A999" s="5">
        <v>41176</v>
      </c>
      <c r="B999" s="2">
        <v>201209</v>
      </c>
    </row>
    <row r="1000" spans="1:2" x14ac:dyDescent="0.35">
      <c r="A1000" s="5">
        <v>41177</v>
      </c>
      <c r="B1000" s="2">
        <v>201209</v>
      </c>
    </row>
    <row r="1001" spans="1:2" x14ac:dyDescent="0.35">
      <c r="A1001" s="5">
        <v>41178</v>
      </c>
      <c r="B1001" s="2">
        <v>201209</v>
      </c>
    </row>
    <row r="1002" spans="1:2" x14ac:dyDescent="0.35">
      <c r="A1002" s="5">
        <v>41179</v>
      </c>
      <c r="B1002" s="2">
        <v>201209</v>
      </c>
    </row>
    <row r="1003" spans="1:2" x14ac:dyDescent="0.35">
      <c r="A1003" s="5">
        <v>41180</v>
      </c>
      <c r="B1003" s="2">
        <v>201209</v>
      </c>
    </row>
    <row r="1004" spans="1:2" x14ac:dyDescent="0.35">
      <c r="A1004" s="5">
        <v>41181</v>
      </c>
      <c r="B1004" s="2">
        <v>201209</v>
      </c>
    </row>
    <row r="1005" spans="1:2" x14ac:dyDescent="0.35">
      <c r="A1005" s="5">
        <v>41182</v>
      </c>
      <c r="B1005" s="2">
        <v>201209</v>
      </c>
    </row>
    <row r="1006" spans="1:2" x14ac:dyDescent="0.35">
      <c r="A1006" s="5">
        <v>41183</v>
      </c>
      <c r="B1006" s="2">
        <v>201210</v>
      </c>
    </row>
    <row r="1007" spans="1:2" x14ac:dyDescent="0.35">
      <c r="A1007" s="5">
        <v>41184</v>
      </c>
      <c r="B1007" s="2">
        <v>201210</v>
      </c>
    </row>
    <row r="1008" spans="1:2" x14ac:dyDescent="0.35">
      <c r="A1008" s="5">
        <v>41185</v>
      </c>
      <c r="B1008" s="2">
        <v>201210</v>
      </c>
    </row>
    <row r="1009" spans="1:2" x14ac:dyDescent="0.35">
      <c r="A1009" s="5">
        <v>41186</v>
      </c>
      <c r="B1009" s="2">
        <v>201210</v>
      </c>
    </row>
    <row r="1010" spans="1:2" x14ac:dyDescent="0.35">
      <c r="A1010" s="5">
        <v>41187</v>
      </c>
      <c r="B1010" s="2">
        <v>201210</v>
      </c>
    </row>
    <row r="1011" spans="1:2" x14ac:dyDescent="0.35">
      <c r="A1011" s="5">
        <v>41188</v>
      </c>
      <c r="B1011" s="2">
        <v>201210</v>
      </c>
    </row>
    <row r="1012" spans="1:2" x14ac:dyDescent="0.35">
      <c r="A1012" s="5">
        <v>41189</v>
      </c>
      <c r="B1012" s="2">
        <v>201210</v>
      </c>
    </row>
    <row r="1013" spans="1:2" x14ac:dyDescent="0.35">
      <c r="A1013" s="5">
        <v>41190</v>
      </c>
      <c r="B1013" s="2">
        <v>201210</v>
      </c>
    </row>
    <row r="1014" spans="1:2" x14ac:dyDescent="0.35">
      <c r="A1014" s="5">
        <v>41191</v>
      </c>
      <c r="B1014" s="2">
        <v>201210</v>
      </c>
    </row>
    <row r="1015" spans="1:2" x14ac:dyDescent="0.35">
      <c r="A1015" s="5">
        <v>41192</v>
      </c>
      <c r="B1015" s="2">
        <v>201210</v>
      </c>
    </row>
    <row r="1016" spans="1:2" x14ac:dyDescent="0.35">
      <c r="A1016" s="5">
        <v>41193</v>
      </c>
      <c r="B1016" s="2">
        <v>201210</v>
      </c>
    </row>
    <row r="1017" spans="1:2" x14ac:dyDescent="0.35">
      <c r="A1017" s="5">
        <v>41194</v>
      </c>
      <c r="B1017" s="2">
        <v>201210</v>
      </c>
    </row>
    <row r="1018" spans="1:2" x14ac:dyDescent="0.35">
      <c r="A1018" s="5">
        <v>41195</v>
      </c>
      <c r="B1018" s="2">
        <v>201210</v>
      </c>
    </row>
    <row r="1019" spans="1:2" x14ac:dyDescent="0.35">
      <c r="A1019" s="5">
        <v>41196</v>
      </c>
      <c r="B1019" s="2">
        <v>201210</v>
      </c>
    </row>
    <row r="1020" spans="1:2" x14ac:dyDescent="0.35">
      <c r="A1020" s="5">
        <v>41197</v>
      </c>
      <c r="B1020" s="2">
        <v>201210</v>
      </c>
    </row>
    <row r="1021" spans="1:2" x14ac:dyDescent="0.35">
      <c r="A1021" s="5">
        <v>41198</v>
      </c>
      <c r="B1021" s="2">
        <v>201210</v>
      </c>
    </row>
    <row r="1022" spans="1:2" x14ac:dyDescent="0.35">
      <c r="A1022" s="5">
        <v>41199</v>
      </c>
      <c r="B1022" s="2">
        <v>201210</v>
      </c>
    </row>
    <row r="1023" spans="1:2" x14ac:dyDescent="0.35">
      <c r="A1023" s="5">
        <v>41200</v>
      </c>
      <c r="B1023" s="2">
        <v>201210</v>
      </c>
    </row>
    <row r="1024" spans="1:2" x14ac:dyDescent="0.35">
      <c r="A1024" s="5">
        <v>41201</v>
      </c>
      <c r="B1024" s="2">
        <v>201210</v>
      </c>
    </row>
    <row r="1025" spans="1:2" x14ac:dyDescent="0.35">
      <c r="A1025" s="5">
        <v>41202</v>
      </c>
      <c r="B1025" s="2">
        <v>201210</v>
      </c>
    </row>
    <row r="1026" spans="1:2" x14ac:dyDescent="0.35">
      <c r="A1026" s="5">
        <v>41203</v>
      </c>
      <c r="B1026" s="2">
        <v>201210</v>
      </c>
    </row>
    <row r="1027" spans="1:2" x14ac:dyDescent="0.35">
      <c r="A1027" s="5">
        <v>41204</v>
      </c>
      <c r="B1027" s="2">
        <v>201210</v>
      </c>
    </row>
    <row r="1028" spans="1:2" x14ac:dyDescent="0.35">
      <c r="A1028" s="5">
        <v>41205</v>
      </c>
      <c r="B1028" s="2">
        <v>201210</v>
      </c>
    </row>
    <row r="1029" spans="1:2" x14ac:dyDescent="0.35">
      <c r="A1029" s="5">
        <v>41206</v>
      </c>
      <c r="B1029" s="2">
        <v>201210</v>
      </c>
    </row>
    <row r="1030" spans="1:2" x14ac:dyDescent="0.35">
      <c r="A1030" s="5">
        <v>41207</v>
      </c>
      <c r="B1030" s="2">
        <v>201210</v>
      </c>
    </row>
    <row r="1031" spans="1:2" x14ac:dyDescent="0.35">
      <c r="A1031" s="5">
        <v>41208</v>
      </c>
      <c r="B1031" s="2">
        <v>201210</v>
      </c>
    </row>
    <row r="1032" spans="1:2" x14ac:dyDescent="0.35">
      <c r="A1032" s="5">
        <v>41209</v>
      </c>
      <c r="B1032" s="2">
        <v>201210</v>
      </c>
    </row>
    <row r="1033" spans="1:2" x14ac:dyDescent="0.35">
      <c r="A1033" s="5">
        <v>41210</v>
      </c>
      <c r="B1033" s="2">
        <v>201210</v>
      </c>
    </row>
    <row r="1034" spans="1:2" x14ac:dyDescent="0.35">
      <c r="A1034" s="5">
        <v>41211</v>
      </c>
      <c r="B1034" s="2">
        <v>201210</v>
      </c>
    </row>
    <row r="1035" spans="1:2" x14ac:dyDescent="0.35">
      <c r="A1035" s="5">
        <v>41212</v>
      </c>
      <c r="B1035" s="2">
        <v>201210</v>
      </c>
    </row>
    <row r="1036" spans="1:2" x14ac:dyDescent="0.35">
      <c r="A1036" s="5">
        <v>41213</v>
      </c>
      <c r="B1036" s="2">
        <v>201210</v>
      </c>
    </row>
    <row r="1037" spans="1:2" x14ac:dyDescent="0.35">
      <c r="A1037" s="5">
        <v>41214</v>
      </c>
      <c r="B1037" s="2">
        <v>201211</v>
      </c>
    </row>
    <row r="1038" spans="1:2" x14ac:dyDescent="0.35">
      <c r="A1038" s="5">
        <v>41215</v>
      </c>
      <c r="B1038" s="2">
        <v>201211</v>
      </c>
    </row>
    <row r="1039" spans="1:2" x14ac:dyDescent="0.35">
      <c r="A1039" s="5">
        <v>41216</v>
      </c>
      <c r="B1039" s="2">
        <v>201211</v>
      </c>
    </row>
    <row r="1040" spans="1:2" x14ac:dyDescent="0.35">
      <c r="A1040" s="5">
        <v>41217</v>
      </c>
      <c r="B1040" s="2">
        <v>201211</v>
      </c>
    </row>
    <row r="1041" spans="1:2" x14ac:dyDescent="0.35">
      <c r="A1041" s="5">
        <v>41218</v>
      </c>
      <c r="B1041" s="2">
        <v>201211</v>
      </c>
    </row>
    <row r="1042" spans="1:2" x14ac:dyDescent="0.35">
      <c r="A1042" s="5">
        <v>41219</v>
      </c>
      <c r="B1042" s="2">
        <v>201211</v>
      </c>
    </row>
    <row r="1043" spans="1:2" x14ac:dyDescent="0.35">
      <c r="A1043" s="5">
        <v>41220</v>
      </c>
      <c r="B1043" s="2">
        <v>201211</v>
      </c>
    </row>
    <row r="1044" spans="1:2" x14ac:dyDescent="0.35">
      <c r="A1044" s="5">
        <v>41221</v>
      </c>
      <c r="B1044" s="2">
        <v>201211</v>
      </c>
    </row>
    <row r="1045" spans="1:2" x14ac:dyDescent="0.35">
      <c r="A1045" s="5">
        <v>41222</v>
      </c>
      <c r="B1045" s="2">
        <v>201211</v>
      </c>
    </row>
    <row r="1046" spans="1:2" x14ac:dyDescent="0.35">
      <c r="A1046" s="5">
        <v>41223</v>
      </c>
      <c r="B1046" s="2">
        <v>201211</v>
      </c>
    </row>
    <row r="1047" spans="1:2" x14ac:dyDescent="0.35">
      <c r="A1047" s="5">
        <v>41224</v>
      </c>
      <c r="B1047" s="2">
        <v>201211</v>
      </c>
    </row>
    <row r="1048" spans="1:2" x14ac:dyDescent="0.35">
      <c r="A1048" s="5">
        <v>41225</v>
      </c>
      <c r="B1048" s="2">
        <v>201211</v>
      </c>
    </row>
    <row r="1049" spans="1:2" x14ac:dyDescent="0.35">
      <c r="A1049" s="5">
        <v>41226</v>
      </c>
      <c r="B1049" s="2">
        <v>201211</v>
      </c>
    </row>
    <row r="1050" spans="1:2" x14ac:dyDescent="0.35">
      <c r="A1050" s="5">
        <v>41227</v>
      </c>
      <c r="B1050" s="2">
        <v>201211</v>
      </c>
    </row>
    <row r="1051" spans="1:2" x14ac:dyDescent="0.35">
      <c r="A1051" s="5">
        <v>41228</v>
      </c>
      <c r="B1051" s="2">
        <v>201211</v>
      </c>
    </row>
    <row r="1052" spans="1:2" x14ac:dyDescent="0.35">
      <c r="A1052" s="5">
        <v>41229</v>
      </c>
      <c r="B1052" s="2">
        <v>201211</v>
      </c>
    </row>
    <row r="1053" spans="1:2" x14ac:dyDescent="0.35">
      <c r="A1053" s="5">
        <v>41230</v>
      </c>
      <c r="B1053" s="2">
        <v>201211</v>
      </c>
    </row>
    <row r="1054" spans="1:2" x14ac:dyDescent="0.35">
      <c r="A1054" s="5">
        <v>41231</v>
      </c>
      <c r="B1054" s="2">
        <v>201211</v>
      </c>
    </row>
    <row r="1055" spans="1:2" x14ac:dyDescent="0.35">
      <c r="A1055" s="5">
        <v>41232</v>
      </c>
      <c r="B1055" s="2">
        <v>201211</v>
      </c>
    </row>
    <row r="1056" spans="1:2" x14ac:dyDescent="0.35">
      <c r="A1056" s="5">
        <v>41233</v>
      </c>
      <c r="B1056" s="2">
        <v>201211</v>
      </c>
    </row>
    <row r="1057" spans="1:2" x14ac:dyDescent="0.35">
      <c r="A1057" s="5">
        <v>41234</v>
      </c>
      <c r="B1057" s="2">
        <v>201211</v>
      </c>
    </row>
    <row r="1058" spans="1:2" x14ac:dyDescent="0.35">
      <c r="A1058" s="5">
        <v>41235</v>
      </c>
      <c r="B1058" s="2">
        <v>201211</v>
      </c>
    </row>
    <row r="1059" spans="1:2" x14ac:dyDescent="0.35">
      <c r="A1059" s="5">
        <v>41236</v>
      </c>
      <c r="B1059" s="2">
        <v>201211</v>
      </c>
    </row>
    <row r="1060" spans="1:2" x14ac:dyDescent="0.35">
      <c r="A1060" s="5">
        <v>41237</v>
      </c>
      <c r="B1060" s="2">
        <v>201211</v>
      </c>
    </row>
    <row r="1061" spans="1:2" x14ac:dyDescent="0.35">
      <c r="A1061" s="5">
        <v>41238</v>
      </c>
      <c r="B1061" s="2">
        <v>201211</v>
      </c>
    </row>
    <row r="1062" spans="1:2" x14ac:dyDescent="0.35">
      <c r="A1062" s="5">
        <v>41239</v>
      </c>
      <c r="B1062" s="2">
        <v>201211</v>
      </c>
    </row>
    <row r="1063" spans="1:2" x14ac:dyDescent="0.35">
      <c r="A1063" s="5">
        <v>41240</v>
      </c>
      <c r="B1063" s="2">
        <v>201211</v>
      </c>
    </row>
    <row r="1064" spans="1:2" x14ac:dyDescent="0.35">
      <c r="A1064" s="5">
        <v>41241</v>
      </c>
      <c r="B1064" s="2">
        <v>201211</v>
      </c>
    </row>
    <row r="1065" spans="1:2" x14ac:dyDescent="0.35">
      <c r="A1065" s="5">
        <v>41242</v>
      </c>
      <c r="B1065" s="2">
        <v>201211</v>
      </c>
    </row>
    <row r="1066" spans="1:2" x14ac:dyDescent="0.35">
      <c r="A1066" s="5">
        <v>41243</v>
      </c>
      <c r="B1066" s="2">
        <v>201211</v>
      </c>
    </row>
    <row r="1067" spans="1:2" x14ac:dyDescent="0.35">
      <c r="A1067" s="5">
        <v>41244</v>
      </c>
      <c r="B1067" s="2">
        <v>201212</v>
      </c>
    </row>
    <row r="1068" spans="1:2" x14ac:dyDescent="0.35">
      <c r="A1068" s="5">
        <v>41245</v>
      </c>
      <c r="B1068" s="2">
        <v>201212</v>
      </c>
    </row>
    <row r="1069" spans="1:2" x14ac:dyDescent="0.35">
      <c r="A1069" s="5">
        <v>41246</v>
      </c>
      <c r="B1069" s="2">
        <v>201212</v>
      </c>
    </row>
    <row r="1070" spans="1:2" x14ac:dyDescent="0.35">
      <c r="A1070" s="5">
        <v>41247</v>
      </c>
      <c r="B1070" s="2">
        <v>201212</v>
      </c>
    </row>
    <row r="1071" spans="1:2" x14ac:dyDescent="0.35">
      <c r="A1071" s="5">
        <v>41248</v>
      </c>
      <c r="B1071" s="2">
        <v>201212</v>
      </c>
    </row>
    <row r="1072" spans="1:2" x14ac:dyDescent="0.35">
      <c r="A1072" s="5">
        <v>41249</v>
      </c>
      <c r="B1072" s="2">
        <v>201212</v>
      </c>
    </row>
    <row r="1073" spans="1:2" x14ac:dyDescent="0.35">
      <c r="A1073" s="5">
        <v>41250</v>
      </c>
      <c r="B1073" s="2">
        <v>201212</v>
      </c>
    </row>
    <row r="1074" spans="1:2" x14ac:dyDescent="0.35">
      <c r="A1074" s="5">
        <v>41251</v>
      </c>
      <c r="B1074" s="2">
        <v>201212</v>
      </c>
    </row>
    <row r="1075" spans="1:2" x14ac:dyDescent="0.35">
      <c r="A1075" s="5">
        <v>41252</v>
      </c>
      <c r="B1075" s="2">
        <v>201212</v>
      </c>
    </row>
    <row r="1076" spans="1:2" x14ac:dyDescent="0.35">
      <c r="A1076" s="5">
        <v>41253</v>
      </c>
      <c r="B1076" s="2">
        <v>201212</v>
      </c>
    </row>
    <row r="1077" spans="1:2" x14ac:dyDescent="0.35">
      <c r="A1077" s="5">
        <v>41254</v>
      </c>
      <c r="B1077" s="2">
        <v>201212</v>
      </c>
    </row>
    <row r="1078" spans="1:2" x14ac:dyDescent="0.35">
      <c r="A1078" s="5">
        <v>41255</v>
      </c>
      <c r="B1078" s="2">
        <v>201212</v>
      </c>
    </row>
    <row r="1079" spans="1:2" x14ac:dyDescent="0.35">
      <c r="A1079" s="5">
        <v>41256</v>
      </c>
      <c r="B1079" s="2">
        <v>201212</v>
      </c>
    </row>
    <row r="1080" spans="1:2" x14ac:dyDescent="0.35">
      <c r="A1080" s="5">
        <v>41257</v>
      </c>
      <c r="B1080" s="2">
        <v>201212</v>
      </c>
    </row>
    <row r="1081" spans="1:2" x14ac:dyDescent="0.35">
      <c r="A1081" s="5">
        <v>41258</v>
      </c>
      <c r="B1081" s="2">
        <v>201212</v>
      </c>
    </row>
    <row r="1082" spans="1:2" x14ac:dyDescent="0.35">
      <c r="A1082" s="5">
        <v>41259</v>
      </c>
      <c r="B1082" s="2">
        <v>201212</v>
      </c>
    </row>
    <row r="1083" spans="1:2" x14ac:dyDescent="0.35">
      <c r="A1083" s="5">
        <v>41260</v>
      </c>
      <c r="B1083" s="2">
        <v>201212</v>
      </c>
    </row>
    <row r="1084" spans="1:2" x14ac:dyDescent="0.35">
      <c r="A1084" s="5">
        <v>41261</v>
      </c>
      <c r="B1084" s="2">
        <v>201212</v>
      </c>
    </row>
    <row r="1085" spans="1:2" x14ac:dyDescent="0.35">
      <c r="A1085" s="5">
        <v>41262</v>
      </c>
      <c r="B1085" s="2">
        <v>201212</v>
      </c>
    </row>
    <row r="1086" spans="1:2" x14ac:dyDescent="0.35">
      <c r="A1086" s="5">
        <v>41263</v>
      </c>
      <c r="B1086" s="2">
        <v>201212</v>
      </c>
    </row>
    <row r="1087" spans="1:2" x14ac:dyDescent="0.35">
      <c r="A1087" s="5">
        <v>41264</v>
      </c>
      <c r="B1087" s="2">
        <v>201212</v>
      </c>
    </row>
    <row r="1088" spans="1:2" x14ac:dyDescent="0.35">
      <c r="A1088" s="5">
        <v>41265</v>
      </c>
      <c r="B1088" s="2">
        <v>201212</v>
      </c>
    </row>
    <row r="1089" spans="1:2" x14ac:dyDescent="0.35">
      <c r="A1089" s="5">
        <v>41266</v>
      </c>
      <c r="B1089" s="2">
        <v>201212</v>
      </c>
    </row>
    <row r="1090" spans="1:2" x14ac:dyDescent="0.35">
      <c r="A1090" s="5">
        <v>41267</v>
      </c>
      <c r="B1090" s="2">
        <v>201212</v>
      </c>
    </row>
    <row r="1091" spans="1:2" x14ac:dyDescent="0.35">
      <c r="A1091" s="5">
        <v>41268</v>
      </c>
      <c r="B1091" s="2">
        <v>201212</v>
      </c>
    </row>
    <row r="1092" spans="1:2" x14ac:dyDescent="0.35">
      <c r="A1092" s="5">
        <v>41269</v>
      </c>
      <c r="B1092" s="2">
        <v>201212</v>
      </c>
    </row>
    <row r="1093" spans="1:2" x14ac:dyDescent="0.35">
      <c r="A1093" s="5">
        <v>41270</v>
      </c>
      <c r="B1093" s="2">
        <v>201212</v>
      </c>
    </row>
    <row r="1094" spans="1:2" x14ac:dyDescent="0.35">
      <c r="A1094" s="5">
        <v>41271</v>
      </c>
      <c r="B1094" s="2">
        <v>201212</v>
      </c>
    </row>
    <row r="1095" spans="1:2" x14ac:dyDescent="0.35">
      <c r="A1095" s="5">
        <v>41272</v>
      </c>
      <c r="B1095" s="2">
        <v>201212</v>
      </c>
    </row>
    <row r="1096" spans="1:2" x14ac:dyDescent="0.35">
      <c r="A1096" s="5">
        <v>41273</v>
      </c>
      <c r="B1096" s="2">
        <v>201212</v>
      </c>
    </row>
    <row r="1097" spans="1:2" x14ac:dyDescent="0.35">
      <c r="A1097" s="5">
        <v>41274</v>
      </c>
      <c r="B1097" s="2">
        <v>201212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>
      <selection activeCell="L14" sqref="L14"/>
    </sheetView>
  </sheetViews>
  <sheetFormatPr defaultRowHeight="14.5" x14ac:dyDescent="0.35"/>
  <cols>
    <col min="1" max="1" width="13.81640625" customWidth="1"/>
    <col min="2" max="2" width="18.453125" customWidth="1"/>
    <col min="3" max="3" width="16.81640625" customWidth="1"/>
  </cols>
  <sheetData>
    <row r="1" spans="1:3" x14ac:dyDescent="0.35">
      <c r="A1" s="1" t="s">
        <v>211</v>
      </c>
      <c r="B1" s="1" t="s">
        <v>782</v>
      </c>
      <c r="C1" s="1" t="s">
        <v>783</v>
      </c>
    </row>
    <row r="2" spans="1:3" x14ac:dyDescent="0.35">
      <c r="A2" s="2">
        <v>1</v>
      </c>
      <c r="B2" s="3" t="s">
        <v>784</v>
      </c>
      <c r="C2" s="3" t="s">
        <v>785</v>
      </c>
    </row>
    <row r="3" spans="1:3" x14ac:dyDescent="0.35">
      <c r="A3" s="2">
        <v>2</v>
      </c>
      <c r="B3" s="3" t="s">
        <v>786</v>
      </c>
      <c r="C3" s="3" t="s">
        <v>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9"/>
  <sheetViews>
    <sheetView topLeftCell="A21" workbookViewId="0">
      <selection activeCell="D2" sqref="D2"/>
    </sheetView>
  </sheetViews>
  <sheetFormatPr defaultRowHeight="14.5" x14ac:dyDescent="0.35"/>
  <cols>
    <col min="1" max="3" width="13.81640625" customWidth="1"/>
  </cols>
  <sheetData>
    <row r="1" spans="1:4" x14ac:dyDescent="0.35">
      <c r="A1" s="1" t="s">
        <v>3</v>
      </c>
      <c r="B1" s="1" t="s">
        <v>788</v>
      </c>
      <c r="C1" s="1" t="s">
        <v>789</v>
      </c>
      <c r="D1" s="10" t="s">
        <v>895</v>
      </c>
    </row>
    <row r="2" spans="1:4" x14ac:dyDescent="0.35">
      <c r="A2" s="2">
        <v>1</v>
      </c>
      <c r="B2" s="3" t="s">
        <v>790</v>
      </c>
      <c r="C2" s="2">
        <v>1</v>
      </c>
      <c r="D2" t="str">
        <f>_xlfn.XLOOKUP(C2,STATE!$A$2:$A$11,STATE!$D$2:$D$11)</f>
        <v>West</v>
      </c>
    </row>
    <row r="3" spans="1:4" x14ac:dyDescent="0.35">
      <c r="A3" s="2">
        <v>2</v>
      </c>
      <c r="B3" s="3" t="s">
        <v>791</v>
      </c>
      <c r="C3" s="2">
        <v>1</v>
      </c>
      <c r="D3" t="str">
        <f>_xlfn.XLOOKUP(C3,STATE!$A$2:$A$11,STATE!$D$2:$D$11)</f>
        <v>West</v>
      </c>
    </row>
    <row r="4" spans="1:4" x14ac:dyDescent="0.35">
      <c r="A4" s="2">
        <v>3</v>
      </c>
      <c r="B4" s="3" t="s">
        <v>792</v>
      </c>
      <c r="C4" s="2">
        <v>2</v>
      </c>
      <c r="D4" t="str">
        <f>_xlfn.XLOOKUP(C4,STATE!$A$2:$A$11,STATE!$D$2:$D$11)</f>
        <v>West</v>
      </c>
    </row>
    <row r="5" spans="1:4" x14ac:dyDescent="0.35">
      <c r="A5" s="2">
        <v>4</v>
      </c>
      <c r="B5" s="3" t="s">
        <v>793</v>
      </c>
      <c r="C5" s="2">
        <v>2</v>
      </c>
      <c r="D5" t="str">
        <f>_xlfn.XLOOKUP(C5,STATE!$A$2:$A$11,STATE!$D$2:$D$11)</f>
        <v>West</v>
      </c>
    </row>
    <row r="6" spans="1:4" x14ac:dyDescent="0.35">
      <c r="A6" s="2">
        <v>5</v>
      </c>
      <c r="B6" s="3" t="s">
        <v>794</v>
      </c>
      <c r="C6" s="2">
        <v>2</v>
      </c>
      <c r="D6" t="str">
        <f>_xlfn.XLOOKUP(C6,STATE!$A$2:$A$11,STATE!$D$2:$D$11)</f>
        <v>West</v>
      </c>
    </row>
    <row r="7" spans="1:4" x14ac:dyDescent="0.35">
      <c r="A7" s="2">
        <v>6</v>
      </c>
      <c r="B7" s="3" t="s">
        <v>795</v>
      </c>
      <c r="C7" s="2">
        <v>2</v>
      </c>
      <c r="D7" t="str">
        <f>_xlfn.XLOOKUP(C7,STATE!$A$2:$A$11,STATE!$D$2:$D$11)</f>
        <v>West</v>
      </c>
    </row>
    <row r="8" spans="1:4" x14ac:dyDescent="0.35">
      <c r="A8" s="2">
        <v>7</v>
      </c>
      <c r="B8" s="3" t="s">
        <v>796</v>
      </c>
      <c r="C8" s="2">
        <v>2</v>
      </c>
      <c r="D8" t="str">
        <f>_xlfn.XLOOKUP(C8,STATE!$A$2:$A$11,STATE!$D$2:$D$11)</f>
        <v>West</v>
      </c>
    </row>
    <row r="9" spans="1:4" x14ac:dyDescent="0.35">
      <c r="A9" s="2">
        <v>8</v>
      </c>
      <c r="B9" s="3" t="s">
        <v>797</v>
      </c>
      <c r="C9" s="2">
        <v>2</v>
      </c>
      <c r="D9" t="str">
        <f>_xlfn.XLOOKUP(C9,STATE!$A$2:$A$11,STATE!$D$2:$D$11)</f>
        <v>West</v>
      </c>
    </row>
    <row r="10" spans="1:4" x14ac:dyDescent="0.35">
      <c r="A10" s="2">
        <v>9</v>
      </c>
      <c r="B10" s="3" t="s">
        <v>798</v>
      </c>
      <c r="C10" s="2">
        <v>2</v>
      </c>
      <c r="D10" t="str">
        <f>_xlfn.XLOOKUP(C10,STATE!$A$2:$A$11,STATE!$D$2:$D$11)</f>
        <v>West</v>
      </c>
    </row>
    <row r="11" spans="1:4" x14ac:dyDescent="0.35">
      <c r="A11" s="2">
        <v>10</v>
      </c>
      <c r="B11" s="3" t="s">
        <v>799</v>
      </c>
      <c r="C11" s="2">
        <v>3</v>
      </c>
      <c r="D11" t="str">
        <f>_xlfn.XLOOKUP(C11,STATE!$A$2:$A$11,STATE!$D$2:$D$11)</f>
        <v>NorthEast</v>
      </c>
    </row>
    <row r="12" spans="1:4" x14ac:dyDescent="0.35">
      <c r="A12" s="2">
        <v>11</v>
      </c>
      <c r="B12" s="3" t="s">
        <v>800</v>
      </c>
      <c r="C12" s="2">
        <v>3</v>
      </c>
      <c r="D12" t="str">
        <f>_xlfn.XLOOKUP(C12,STATE!$A$2:$A$11,STATE!$D$2:$D$11)</f>
        <v>NorthEast</v>
      </c>
    </row>
    <row r="13" spans="1:4" x14ac:dyDescent="0.35">
      <c r="A13" s="2">
        <v>12</v>
      </c>
      <c r="B13" s="3" t="s">
        <v>801</v>
      </c>
      <c r="C13" s="2">
        <v>3</v>
      </c>
      <c r="D13" t="str">
        <f>_xlfn.XLOOKUP(C13,STATE!$A$2:$A$11,STATE!$D$2:$D$11)</f>
        <v>NorthEast</v>
      </c>
    </row>
    <row r="14" spans="1:4" x14ac:dyDescent="0.35">
      <c r="A14" s="2">
        <v>13</v>
      </c>
      <c r="B14" s="3" t="s">
        <v>802</v>
      </c>
      <c r="C14" s="2">
        <v>3</v>
      </c>
      <c r="D14" t="str">
        <f>_xlfn.XLOOKUP(C14,STATE!$A$2:$A$11,STATE!$D$2:$D$11)</f>
        <v>NorthEast</v>
      </c>
    </row>
    <row r="15" spans="1:4" ht="29" x14ac:dyDescent="0.35">
      <c r="A15" s="2">
        <v>14</v>
      </c>
      <c r="B15" s="3" t="s">
        <v>803</v>
      </c>
      <c r="C15" s="2">
        <v>4</v>
      </c>
      <c r="D15" t="str">
        <f>_xlfn.XLOOKUP(C15,STATE!$A$2:$A$11,STATE!$D$2:$D$11)</f>
        <v>South</v>
      </c>
    </row>
    <row r="16" spans="1:4" x14ac:dyDescent="0.35">
      <c r="A16" s="2">
        <v>15</v>
      </c>
      <c r="B16" s="3" t="s">
        <v>804</v>
      </c>
      <c r="C16" s="2">
        <v>4</v>
      </c>
      <c r="D16" t="str">
        <f>_xlfn.XLOOKUP(C16,STATE!$A$2:$A$11,STATE!$D$2:$D$11)</f>
        <v>South</v>
      </c>
    </row>
    <row r="17" spans="1:4" x14ac:dyDescent="0.35">
      <c r="A17" s="2">
        <v>16</v>
      </c>
      <c r="B17" s="3" t="s">
        <v>805</v>
      </c>
      <c r="C17" s="2">
        <v>4</v>
      </c>
      <c r="D17" t="str">
        <f>_xlfn.XLOOKUP(C17,STATE!$A$2:$A$11,STATE!$D$2:$D$11)</f>
        <v>South</v>
      </c>
    </row>
    <row r="18" spans="1:4" ht="29" x14ac:dyDescent="0.35">
      <c r="A18" s="2">
        <v>17</v>
      </c>
      <c r="B18" s="3" t="s">
        <v>806</v>
      </c>
      <c r="C18" s="2">
        <v>4</v>
      </c>
      <c r="D18" t="str">
        <f>_xlfn.XLOOKUP(C18,STATE!$A$2:$A$11,STATE!$D$2:$D$11)</f>
        <v>South</v>
      </c>
    </row>
    <row r="19" spans="1:4" x14ac:dyDescent="0.35">
      <c r="A19" s="2">
        <v>18</v>
      </c>
      <c r="B19" s="3" t="s">
        <v>807</v>
      </c>
      <c r="C19" s="2">
        <v>4</v>
      </c>
      <c r="D19" t="str">
        <f>_xlfn.XLOOKUP(C19,STATE!$A$2:$A$11,STATE!$D$2:$D$11)</f>
        <v>South</v>
      </c>
    </row>
    <row r="20" spans="1:4" x14ac:dyDescent="0.35">
      <c r="A20" s="2">
        <v>19</v>
      </c>
      <c r="B20" s="3" t="s">
        <v>808</v>
      </c>
      <c r="C20" s="2">
        <v>5</v>
      </c>
      <c r="D20" t="str">
        <f>_xlfn.XLOOKUP(C20,STATE!$A$2:$A$11,STATE!$D$2:$D$11)</f>
        <v>NorthEast</v>
      </c>
    </row>
    <row r="21" spans="1:4" x14ac:dyDescent="0.35">
      <c r="A21" s="2">
        <v>20</v>
      </c>
      <c r="B21" s="3" t="s">
        <v>809</v>
      </c>
      <c r="C21" s="2">
        <v>5</v>
      </c>
      <c r="D21" t="str">
        <f>_xlfn.XLOOKUP(C21,STATE!$A$2:$A$11,STATE!$D$2:$D$11)</f>
        <v>NorthEast</v>
      </c>
    </row>
    <row r="22" spans="1:4" x14ac:dyDescent="0.35">
      <c r="A22" s="2">
        <v>21</v>
      </c>
      <c r="B22" s="3" t="s">
        <v>810</v>
      </c>
      <c r="C22" s="2">
        <v>6</v>
      </c>
      <c r="D22" t="str">
        <f>_xlfn.XLOOKUP(C22,STATE!$A$2:$A$11,STATE!$D$2:$D$11)</f>
        <v>South</v>
      </c>
    </row>
    <row r="23" spans="1:4" x14ac:dyDescent="0.35">
      <c r="A23" s="2">
        <v>22</v>
      </c>
      <c r="B23" s="3" t="s">
        <v>811</v>
      </c>
      <c r="C23" s="2">
        <v>6</v>
      </c>
      <c r="D23" t="str">
        <f>_xlfn.XLOOKUP(C23,STATE!$A$2:$A$11,STATE!$D$2:$D$11)</f>
        <v>South</v>
      </c>
    </row>
    <row r="24" spans="1:4" x14ac:dyDescent="0.35">
      <c r="A24" s="2">
        <v>23</v>
      </c>
      <c r="B24" s="3" t="s">
        <v>812</v>
      </c>
      <c r="C24" s="2">
        <v>7</v>
      </c>
      <c r="D24" t="str">
        <f>_xlfn.XLOOKUP(C24,STATE!$A$2:$A$11,STATE!$D$2:$D$11)</f>
        <v>MidAtlantic</v>
      </c>
    </row>
    <row r="25" spans="1:4" x14ac:dyDescent="0.35">
      <c r="A25" s="2">
        <v>24</v>
      </c>
      <c r="B25" s="3" t="s">
        <v>813</v>
      </c>
      <c r="C25" s="2">
        <v>7</v>
      </c>
      <c r="D25" t="str">
        <f>_xlfn.XLOOKUP(C25,STATE!$A$2:$A$11,STATE!$D$2:$D$11)</f>
        <v>MidAtlantic</v>
      </c>
    </row>
    <row r="26" spans="1:4" x14ac:dyDescent="0.35">
      <c r="A26" s="2">
        <v>25</v>
      </c>
      <c r="B26" s="3" t="s">
        <v>814</v>
      </c>
      <c r="C26" s="2">
        <v>7</v>
      </c>
      <c r="D26" t="str">
        <f>_xlfn.XLOOKUP(C26,STATE!$A$2:$A$11,STATE!$D$2:$D$11)</f>
        <v>MidAtlantic</v>
      </c>
    </row>
    <row r="27" spans="1:4" x14ac:dyDescent="0.35">
      <c r="A27" s="2">
        <v>26</v>
      </c>
      <c r="B27" s="3" t="s">
        <v>815</v>
      </c>
      <c r="C27" s="2">
        <v>7</v>
      </c>
      <c r="D27" t="str">
        <f>_xlfn.XLOOKUP(C27,STATE!$A$2:$A$11,STATE!$D$2:$D$11)</f>
        <v>MidAtlantic</v>
      </c>
    </row>
    <row r="28" spans="1:4" x14ac:dyDescent="0.35">
      <c r="A28" s="2">
        <v>27</v>
      </c>
      <c r="B28" s="3" t="s">
        <v>816</v>
      </c>
      <c r="C28" s="2">
        <v>7</v>
      </c>
      <c r="D28" t="str">
        <f>_xlfn.XLOOKUP(C28,STATE!$A$2:$A$11,STATE!$D$2:$D$11)</f>
        <v>MidAtlantic</v>
      </c>
    </row>
    <row r="29" spans="1:4" x14ac:dyDescent="0.35">
      <c r="A29" s="2">
        <v>28</v>
      </c>
      <c r="B29" s="3" t="s">
        <v>817</v>
      </c>
      <c r="C29" s="2">
        <v>7</v>
      </c>
      <c r="D29" t="str">
        <f>_xlfn.XLOOKUP(C29,STATE!$A$2:$A$11,STATE!$D$2:$D$11)</f>
        <v>MidAtlantic</v>
      </c>
    </row>
    <row r="30" spans="1:4" x14ac:dyDescent="0.35">
      <c r="A30" s="2">
        <v>29</v>
      </c>
      <c r="B30" s="3" t="s">
        <v>818</v>
      </c>
      <c r="C30" s="2">
        <v>8</v>
      </c>
      <c r="D30" t="str">
        <f>_xlfn.XLOOKUP(C30,STATE!$A$2:$A$11,STATE!$D$2:$D$11)</f>
        <v>MidAtlantic</v>
      </c>
    </row>
    <row r="31" spans="1:4" x14ac:dyDescent="0.35">
      <c r="A31" s="2">
        <v>30</v>
      </c>
      <c r="B31" s="3" t="s">
        <v>819</v>
      </c>
      <c r="C31" s="2">
        <v>8</v>
      </c>
      <c r="D31" t="str">
        <f>_xlfn.XLOOKUP(C31,STATE!$A$2:$A$11,STATE!$D$2:$D$11)</f>
        <v>MidAtlantic</v>
      </c>
    </row>
    <row r="32" spans="1:4" x14ac:dyDescent="0.35">
      <c r="A32" s="2">
        <v>31</v>
      </c>
      <c r="B32" s="3" t="s">
        <v>820</v>
      </c>
      <c r="C32" s="2">
        <v>8</v>
      </c>
      <c r="D32" t="str">
        <f>_xlfn.XLOOKUP(C32,STATE!$A$2:$A$11,STATE!$D$2:$D$11)</f>
        <v>MidAtlantic</v>
      </c>
    </row>
    <row r="33" spans="1:4" x14ac:dyDescent="0.35">
      <c r="A33" s="2">
        <v>32</v>
      </c>
      <c r="B33" s="3" t="s">
        <v>821</v>
      </c>
      <c r="C33" s="2">
        <v>8</v>
      </c>
      <c r="D33" t="str">
        <f>_xlfn.XLOOKUP(C33,STATE!$A$2:$A$11,STATE!$D$2:$D$11)</f>
        <v>MidAtlantic</v>
      </c>
    </row>
    <row r="34" spans="1:4" x14ac:dyDescent="0.35">
      <c r="A34" s="2">
        <v>33</v>
      </c>
      <c r="B34" s="3" t="s">
        <v>822</v>
      </c>
      <c r="C34" s="2">
        <v>9</v>
      </c>
      <c r="D34" t="str">
        <f>_xlfn.XLOOKUP(C34,STATE!$A$2:$A$11,STATE!$D$2:$D$11)</f>
        <v>South</v>
      </c>
    </row>
    <row r="35" spans="1:4" x14ac:dyDescent="0.35">
      <c r="A35" s="2">
        <v>34</v>
      </c>
      <c r="B35" s="3" t="s">
        <v>823</v>
      </c>
      <c r="C35" s="2">
        <v>9</v>
      </c>
      <c r="D35" t="str">
        <f>_xlfn.XLOOKUP(C35,STATE!$A$2:$A$11,STATE!$D$2:$D$11)</f>
        <v>South</v>
      </c>
    </row>
    <row r="36" spans="1:4" x14ac:dyDescent="0.35">
      <c r="A36" s="2">
        <v>35</v>
      </c>
      <c r="B36" s="3" t="s">
        <v>824</v>
      </c>
      <c r="C36" s="2">
        <v>9</v>
      </c>
      <c r="D36" t="str">
        <f>_xlfn.XLOOKUP(C36,STATE!$A$2:$A$11,STATE!$D$2:$D$11)</f>
        <v>South</v>
      </c>
    </row>
    <row r="37" spans="1:4" x14ac:dyDescent="0.35">
      <c r="A37" s="2">
        <v>36</v>
      </c>
      <c r="B37" s="3" t="s">
        <v>825</v>
      </c>
      <c r="C37" s="2">
        <v>9</v>
      </c>
      <c r="D37" t="str">
        <f>_xlfn.XLOOKUP(C37,STATE!$A$2:$A$11,STATE!$D$2:$D$11)</f>
        <v>South</v>
      </c>
    </row>
    <row r="38" spans="1:4" x14ac:dyDescent="0.35">
      <c r="A38" s="2">
        <v>37</v>
      </c>
      <c r="B38" s="3" t="s">
        <v>826</v>
      </c>
      <c r="C38" s="2">
        <v>10</v>
      </c>
      <c r="D38" t="str">
        <f>_xlfn.XLOOKUP(C38,STATE!$A$2:$A$11,STATE!$D$2:$D$11)</f>
        <v>West</v>
      </c>
    </row>
    <row r="39" spans="1:4" x14ac:dyDescent="0.35">
      <c r="A39" s="2">
        <v>38</v>
      </c>
      <c r="B39" s="3" t="s">
        <v>827</v>
      </c>
      <c r="C39" s="2">
        <v>10</v>
      </c>
      <c r="D39" t="str">
        <f>_xlfn.XLOOKUP(C39,STATE!$A$2:$A$11,STATE!$D$2:$D$11)</f>
        <v>West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selection activeCell="D21" sqref="D21"/>
    </sheetView>
  </sheetViews>
  <sheetFormatPr defaultRowHeight="14.5" x14ac:dyDescent="0.35"/>
  <cols>
    <col min="1" max="1" width="13.81640625" customWidth="1"/>
    <col min="2" max="2" width="21" customWidth="1"/>
  </cols>
  <sheetData>
    <row r="1" spans="1:2" x14ac:dyDescent="0.35">
      <c r="A1" s="1" t="s">
        <v>217</v>
      </c>
      <c r="B1" s="1" t="s">
        <v>828</v>
      </c>
    </row>
    <row r="2" spans="1:2" ht="29" x14ac:dyDescent="0.35">
      <c r="A2" s="2">
        <v>1</v>
      </c>
      <c r="B2" s="3" t="s">
        <v>829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5"/>
  <sheetViews>
    <sheetView workbookViewId="0">
      <selection activeCell="J12" sqref="J12"/>
    </sheetView>
  </sheetViews>
  <sheetFormatPr defaultRowHeight="14.5" x14ac:dyDescent="0.35"/>
  <cols>
    <col min="1" max="1" width="19.54296875" customWidth="1"/>
    <col min="2" max="2" width="25.1796875" customWidth="1"/>
    <col min="3" max="3" width="19.1796875" customWidth="1"/>
  </cols>
  <sheetData>
    <row r="1" spans="1:3" x14ac:dyDescent="0.35">
      <c r="A1" s="1" t="s">
        <v>329</v>
      </c>
      <c r="B1" s="1" t="s">
        <v>830</v>
      </c>
      <c r="C1" s="1" t="s">
        <v>831</v>
      </c>
    </row>
    <row r="2" spans="1:3" x14ac:dyDescent="0.35">
      <c r="A2" s="2">
        <v>1</v>
      </c>
      <c r="B2" s="3" t="s">
        <v>832</v>
      </c>
      <c r="C2" s="2">
        <v>1</v>
      </c>
    </row>
    <row r="3" spans="1:3" x14ac:dyDescent="0.35">
      <c r="A3" s="2">
        <v>2</v>
      </c>
      <c r="B3" s="3" t="s">
        <v>833</v>
      </c>
      <c r="C3" s="2">
        <v>1</v>
      </c>
    </row>
    <row r="4" spans="1:3" x14ac:dyDescent="0.35">
      <c r="A4" s="2">
        <v>3</v>
      </c>
      <c r="B4" s="3" t="s">
        <v>834</v>
      </c>
      <c r="C4" s="2">
        <v>1</v>
      </c>
    </row>
    <row r="5" spans="1:3" x14ac:dyDescent="0.35">
      <c r="A5" s="2">
        <v>4</v>
      </c>
      <c r="B5" s="3" t="s">
        <v>835</v>
      </c>
      <c r="C5" s="2">
        <v>1</v>
      </c>
    </row>
    <row r="6" spans="1:3" x14ac:dyDescent="0.35">
      <c r="A6" s="2">
        <v>5</v>
      </c>
      <c r="B6" s="3" t="s">
        <v>836</v>
      </c>
      <c r="C6" s="2">
        <v>2</v>
      </c>
    </row>
    <row r="7" spans="1:3" x14ac:dyDescent="0.35">
      <c r="A7" s="2">
        <v>6</v>
      </c>
      <c r="B7" s="3" t="s">
        <v>837</v>
      </c>
      <c r="C7" s="2">
        <v>2</v>
      </c>
    </row>
    <row r="8" spans="1:3" x14ac:dyDescent="0.35">
      <c r="A8" s="2">
        <v>7</v>
      </c>
      <c r="B8" s="3" t="s">
        <v>838</v>
      </c>
      <c r="C8" s="2">
        <v>2</v>
      </c>
    </row>
    <row r="9" spans="1:3" x14ac:dyDescent="0.35">
      <c r="A9" s="2">
        <v>8</v>
      </c>
      <c r="B9" s="3" t="s">
        <v>839</v>
      </c>
      <c r="C9" s="2">
        <v>2</v>
      </c>
    </row>
    <row r="10" spans="1:3" x14ac:dyDescent="0.35">
      <c r="A10" s="2">
        <v>9</v>
      </c>
      <c r="B10" s="3" t="s">
        <v>840</v>
      </c>
      <c r="C10" s="2">
        <v>2</v>
      </c>
    </row>
    <row r="11" spans="1:3" x14ac:dyDescent="0.35">
      <c r="A11" s="2">
        <v>10</v>
      </c>
      <c r="B11" s="3" t="s">
        <v>841</v>
      </c>
      <c r="C11" s="2">
        <v>3</v>
      </c>
    </row>
    <row r="12" spans="1:3" x14ac:dyDescent="0.35">
      <c r="A12" s="2">
        <v>11</v>
      </c>
      <c r="B12" s="3" t="s">
        <v>842</v>
      </c>
      <c r="C12" s="2">
        <v>3</v>
      </c>
    </row>
    <row r="13" spans="1:3" x14ac:dyDescent="0.35">
      <c r="A13" s="2">
        <v>12</v>
      </c>
      <c r="B13" s="3" t="s">
        <v>843</v>
      </c>
      <c r="C13" s="2">
        <v>3</v>
      </c>
    </row>
    <row r="14" spans="1:3" x14ac:dyDescent="0.35">
      <c r="A14" s="2">
        <v>13</v>
      </c>
      <c r="B14" s="3" t="s">
        <v>839</v>
      </c>
      <c r="C14" s="2">
        <v>4</v>
      </c>
    </row>
    <row r="15" spans="1:3" x14ac:dyDescent="0.35">
      <c r="A15" s="2">
        <v>14</v>
      </c>
      <c r="B15" s="3" t="s">
        <v>838</v>
      </c>
      <c r="C15" s="2">
        <v>4</v>
      </c>
    </row>
    <row r="16" spans="1:3" x14ac:dyDescent="0.35">
      <c r="A16" s="2">
        <v>15</v>
      </c>
      <c r="B16" s="3" t="s">
        <v>844</v>
      </c>
      <c r="C16" s="2">
        <v>5</v>
      </c>
    </row>
    <row r="17" spans="1:3" x14ac:dyDescent="0.35">
      <c r="A17" s="2">
        <v>16</v>
      </c>
      <c r="B17" s="3" t="s">
        <v>845</v>
      </c>
      <c r="C17" s="2">
        <v>5</v>
      </c>
    </row>
    <row r="18" spans="1:3" x14ac:dyDescent="0.35">
      <c r="A18" s="2">
        <v>17</v>
      </c>
      <c r="B18" s="3" t="s">
        <v>846</v>
      </c>
      <c r="C18" s="2">
        <v>5</v>
      </c>
    </row>
    <row r="19" spans="1:3" x14ac:dyDescent="0.35">
      <c r="A19" s="2">
        <v>18</v>
      </c>
      <c r="B19" s="3" t="s">
        <v>847</v>
      </c>
      <c r="C19" s="2">
        <v>6</v>
      </c>
    </row>
    <row r="20" spans="1:3" x14ac:dyDescent="0.35">
      <c r="A20" s="2">
        <v>19</v>
      </c>
      <c r="B20" s="3" t="s">
        <v>848</v>
      </c>
      <c r="C20" s="2">
        <v>6</v>
      </c>
    </row>
    <row r="21" spans="1:3" x14ac:dyDescent="0.35">
      <c r="A21" s="2">
        <v>20</v>
      </c>
      <c r="B21" s="3" t="s">
        <v>849</v>
      </c>
      <c r="C21" s="2">
        <v>6</v>
      </c>
    </row>
    <row r="22" spans="1:3" x14ac:dyDescent="0.35">
      <c r="A22" s="2">
        <v>21</v>
      </c>
      <c r="B22" s="3" t="s">
        <v>850</v>
      </c>
      <c r="C22" s="2">
        <v>6</v>
      </c>
    </row>
    <row r="23" spans="1:3" x14ac:dyDescent="0.35">
      <c r="A23" s="2">
        <v>22</v>
      </c>
      <c r="B23" s="3" t="s">
        <v>851</v>
      </c>
      <c r="C23" s="2">
        <v>6</v>
      </c>
    </row>
    <row r="24" spans="1:3" x14ac:dyDescent="0.35">
      <c r="A24" s="2">
        <v>23</v>
      </c>
      <c r="B24" s="3" t="s">
        <v>852</v>
      </c>
      <c r="C24" s="2">
        <v>7</v>
      </c>
    </row>
    <row r="25" spans="1:3" x14ac:dyDescent="0.35">
      <c r="A25" s="2">
        <v>24</v>
      </c>
      <c r="B25" s="3" t="s">
        <v>853</v>
      </c>
      <c r="C25" s="2">
        <v>7</v>
      </c>
    </row>
    <row r="26" spans="1:3" x14ac:dyDescent="0.35">
      <c r="A26" s="2">
        <v>25</v>
      </c>
      <c r="B26" s="3" t="s">
        <v>854</v>
      </c>
      <c r="C26" s="2">
        <v>7</v>
      </c>
    </row>
    <row r="27" spans="1:3" x14ac:dyDescent="0.35">
      <c r="A27" s="2">
        <v>26</v>
      </c>
      <c r="B27" s="3" t="s">
        <v>855</v>
      </c>
      <c r="C27" s="2">
        <v>8</v>
      </c>
    </row>
    <row r="28" spans="1:3" x14ac:dyDescent="0.35">
      <c r="A28" s="2">
        <v>27</v>
      </c>
      <c r="B28" s="3" t="s">
        <v>856</v>
      </c>
      <c r="C28" s="2">
        <v>8</v>
      </c>
    </row>
    <row r="29" spans="1:3" x14ac:dyDescent="0.35">
      <c r="A29" s="2">
        <v>28</v>
      </c>
      <c r="B29" s="3" t="s">
        <v>857</v>
      </c>
      <c r="C29" s="2">
        <v>8</v>
      </c>
    </row>
    <row r="30" spans="1:3" x14ac:dyDescent="0.35">
      <c r="A30" s="2">
        <v>29</v>
      </c>
      <c r="B30" s="3" t="s">
        <v>858</v>
      </c>
      <c r="C30" s="2">
        <v>9</v>
      </c>
    </row>
    <row r="31" spans="1:3" x14ac:dyDescent="0.35">
      <c r="A31" s="2">
        <v>30</v>
      </c>
      <c r="B31" s="3" t="s">
        <v>859</v>
      </c>
      <c r="C31" s="2">
        <v>9</v>
      </c>
    </row>
    <row r="32" spans="1:3" x14ac:dyDescent="0.35">
      <c r="A32" s="2">
        <v>31</v>
      </c>
      <c r="B32" s="3" t="s">
        <v>860</v>
      </c>
      <c r="C32" s="2">
        <v>10</v>
      </c>
    </row>
    <row r="33" spans="1:3" x14ac:dyDescent="0.35">
      <c r="A33" s="2">
        <v>32</v>
      </c>
      <c r="B33" s="3" t="s">
        <v>861</v>
      </c>
      <c r="C33" s="2">
        <v>10</v>
      </c>
    </row>
    <row r="34" spans="1:3" x14ac:dyDescent="0.35">
      <c r="A34" s="2">
        <v>33</v>
      </c>
      <c r="B34" s="3" t="s">
        <v>862</v>
      </c>
      <c r="C34" s="2">
        <v>11</v>
      </c>
    </row>
    <row r="35" spans="1:3" x14ac:dyDescent="0.35">
      <c r="A35" s="2">
        <v>34</v>
      </c>
      <c r="B35" s="3" t="s">
        <v>863</v>
      </c>
      <c r="C35" s="2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>
      <selection activeCell="M10" sqref="M10"/>
    </sheetView>
  </sheetViews>
  <sheetFormatPr defaultRowHeight="14.5" x14ac:dyDescent="0.35"/>
  <cols>
    <col min="1" max="1" width="16.81640625" customWidth="1"/>
    <col min="2" max="2" width="29.81640625" customWidth="1"/>
    <col min="3" max="3" width="19.26953125" customWidth="1"/>
  </cols>
  <sheetData>
    <row r="1" spans="1:3" x14ac:dyDescent="0.35">
      <c r="A1" s="1" t="s">
        <v>831</v>
      </c>
      <c r="B1" s="1" t="s">
        <v>864</v>
      </c>
      <c r="C1" s="1" t="s">
        <v>865</v>
      </c>
    </row>
    <row r="2" spans="1:3" x14ac:dyDescent="0.35">
      <c r="A2" s="2">
        <v>1</v>
      </c>
      <c r="B2" s="3" t="s">
        <v>866</v>
      </c>
      <c r="C2" s="2">
        <v>1</v>
      </c>
    </row>
    <row r="3" spans="1:3" x14ac:dyDescent="0.35">
      <c r="A3" s="2">
        <v>2</v>
      </c>
      <c r="B3" s="3" t="s">
        <v>867</v>
      </c>
      <c r="C3" s="2">
        <v>1</v>
      </c>
    </row>
    <row r="4" spans="1:3" x14ac:dyDescent="0.35">
      <c r="A4" s="2">
        <v>3</v>
      </c>
      <c r="B4" s="3" t="s">
        <v>868</v>
      </c>
      <c r="C4" s="2">
        <v>1</v>
      </c>
    </row>
    <row r="5" spans="1:3" x14ac:dyDescent="0.35">
      <c r="A5" s="2">
        <v>4</v>
      </c>
      <c r="B5" s="3" t="s">
        <v>869</v>
      </c>
      <c r="C5" s="2">
        <v>1</v>
      </c>
    </row>
    <row r="6" spans="1:3" x14ac:dyDescent="0.35">
      <c r="A6" s="2">
        <v>5</v>
      </c>
      <c r="B6" s="3" t="s">
        <v>870</v>
      </c>
      <c r="C6" s="2">
        <v>2</v>
      </c>
    </row>
    <row r="7" spans="1:3" x14ac:dyDescent="0.35">
      <c r="A7" s="2">
        <v>6</v>
      </c>
      <c r="B7" s="3" t="s">
        <v>871</v>
      </c>
      <c r="C7" s="2">
        <v>2</v>
      </c>
    </row>
    <row r="8" spans="1:3" x14ac:dyDescent="0.35">
      <c r="A8" s="2">
        <v>7</v>
      </c>
      <c r="B8" s="3" t="s">
        <v>872</v>
      </c>
      <c r="C8" s="2">
        <v>2</v>
      </c>
    </row>
    <row r="9" spans="1:3" x14ac:dyDescent="0.35">
      <c r="A9" s="2">
        <v>8</v>
      </c>
      <c r="B9" s="3" t="s">
        <v>873</v>
      </c>
      <c r="C9" s="2">
        <v>2</v>
      </c>
    </row>
    <row r="10" spans="1:3" x14ac:dyDescent="0.35">
      <c r="A10" s="2">
        <v>9</v>
      </c>
      <c r="B10" s="3" t="s">
        <v>874</v>
      </c>
      <c r="C10" s="2">
        <v>2</v>
      </c>
    </row>
    <row r="11" spans="1:3" x14ac:dyDescent="0.35">
      <c r="A11" s="2">
        <v>10</v>
      </c>
      <c r="B11" s="3" t="s">
        <v>875</v>
      </c>
      <c r="C11" s="2">
        <v>3</v>
      </c>
    </row>
    <row r="12" spans="1:3" x14ac:dyDescent="0.35">
      <c r="A12" s="2">
        <v>11</v>
      </c>
      <c r="B12" s="3" t="s">
        <v>876</v>
      </c>
      <c r="C12" s="2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>
      <selection activeCell="P5" sqref="P5"/>
    </sheetView>
  </sheetViews>
  <sheetFormatPr defaultRowHeight="14.5" x14ac:dyDescent="0.35"/>
  <cols>
    <col min="1" max="1" width="19.26953125" customWidth="1"/>
    <col min="2" max="2" width="23" customWidth="1"/>
  </cols>
  <sheetData>
    <row r="1" spans="1:2" x14ac:dyDescent="0.35">
      <c r="A1" s="1" t="s">
        <v>865</v>
      </c>
      <c r="B1" s="1" t="s">
        <v>877</v>
      </c>
    </row>
    <row r="2" spans="1:2" x14ac:dyDescent="0.35">
      <c r="A2" s="2">
        <v>1</v>
      </c>
      <c r="B2" s="3" t="s">
        <v>878</v>
      </c>
    </row>
    <row r="3" spans="1:2" x14ac:dyDescent="0.35">
      <c r="A3" s="2">
        <v>2</v>
      </c>
      <c r="B3" s="3" t="s">
        <v>879</v>
      </c>
    </row>
    <row r="4" spans="1:2" x14ac:dyDescent="0.35">
      <c r="A4" s="2">
        <v>3</v>
      </c>
      <c r="B4" s="3" t="s">
        <v>880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>
      <selection activeCell="D2" sqref="D2:D11"/>
    </sheetView>
  </sheetViews>
  <sheetFormatPr defaultRowHeight="14.5" x14ac:dyDescent="0.35"/>
  <cols>
    <col min="1" max="3" width="13.81640625" customWidth="1"/>
  </cols>
  <sheetData>
    <row r="1" spans="1:4" x14ac:dyDescent="0.35">
      <c r="A1" s="1" t="s">
        <v>789</v>
      </c>
      <c r="B1" s="1" t="s">
        <v>881</v>
      </c>
      <c r="C1" s="1" t="s">
        <v>215</v>
      </c>
    </row>
    <row r="2" spans="1:4" x14ac:dyDescent="0.35">
      <c r="A2" s="2">
        <v>1</v>
      </c>
      <c r="B2" s="3" t="s">
        <v>882</v>
      </c>
      <c r="C2" s="2">
        <v>4</v>
      </c>
      <c r="D2" t="str">
        <f>_xlfn.XLOOKUP(C2,REGION!$A$2:$A$5,REGION!$B$2:$B$5)</f>
        <v>West</v>
      </c>
    </row>
    <row r="3" spans="1:4" x14ac:dyDescent="0.35">
      <c r="A3" s="2">
        <v>2</v>
      </c>
      <c r="B3" s="3" t="s">
        <v>883</v>
      </c>
      <c r="C3" s="2">
        <v>4</v>
      </c>
      <c r="D3" t="str">
        <f>_xlfn.XLOOKUP(C3,REGION!$A$2:$A$5,REGION!$B$2:$B$5)</f>
        <v>West</v>
      </c>
    </row>
    <row r="4" spans="1:4" x14ac:dyDescent="0.35">
      <c r="A4" s="2">
        <v>3</v>
      </c>
      <c r="B4" s="3" t="s">
        <v>884</v>
      </c>
      <c r="C4" s="2">
        <v>1</v>
      </c>
      <c r="D4" t="str">
        <f>_xlfn.XLOOKUP(C4,REGION!$A$2:$A$5,REGION!$B$2:$B$5)</f>
        <v>NorthEast</v>
      </c>
    </row>
    <row r="5" spans="1:4" x14ac:dyDescent="0.35">
      <c r="A5" s="2">
        <v>4</v>
      </c>
      <c r="B5" s="3" t="s">
        <v>885</v>
      </c>
      <c r="C5" s="2">
        <v>3</v>
      </c>
      <c r="D5" t="str">
        <f>_xlfn.XLOOKUP(C5,REGION!$A$2:$A$5,REGION!$B$2:$B$5)</f>
        <v>South</v>
      </c>
    </row>
    <row r="6" spans="1:4" x14ac:dyDescent="0.35">
      <c r="A6" s="2">
        <v>5</v>
      </c>
      <c r="B6" s="3" t="s">
        <v>886</v>
      </c>
      <c r="C6" s="2">
        <v>1</v>
      </c>
      <c r="D6" t="str">
        <f>_xlfn.XLOOKUP(C6,REGION!$A$2:$A$5,REGION!$B$2:$B$5)</f>
        <v>NorthEast</v>
      </c>
    </row>
    <row r="7" spans="1:4" x14ac:dyDescent="0.35">
      <c r="A7" s="2">
        <v>6</v>
      </c>
      <c r="B7" s="3" t="s">
        <v>887</v>
      </c>
      <c r="C7" s="2">
        <v>3</v>
      </c>
      <c r="D7" t="str">
        <f>_xlfn.XLOOKUP(C7,REGION!$A$2:$A$5,REGION!$B$2:$B$5)</f>
        <v>South</v>
      </c>
    </row>
    <row r="8" spans="1:4" x14ac:dyDescent="0.35">
      <c r="A8" s="2">
        <v>7</v>
      </c>
      <c r="B8" s="3" t="s">
        <v>888</v>
      </c>
      <c r="C8" s="2">
        <v>2</v>
      </c>
      <c r="D8" t="str">
        <f>_xlfn.XLOOKUP(C8,REGION!$A$2:$A$5,REGION!$B$2:$B$5)</f>
        <v>MidAtlantic</v>
      </c>
    </row>
    <row r="9" spans="1:4" x14ac:dyDescent="0.35">
      <c r="A9" s="2">
        <v>8</v>
      </c>
      <c r="B9" s="3" t="s">
        <v>889</v>
      </c>
      <c r="C9" s="2">
        <v>2</v>
      </c>
      <c r="D9" t="str">
        <f>_xlfn.XLOOKUP(C9,REGION!$A$2:$A$5,REGION!$B$2:$B$5)</f>
        <v>MidAtlantic</v>
      </c>
    </row>
    <row r="10" spans="1:4" x14ac:dyDescent="0.35">
      <c r="A10" s="2">
        <v>9</v>
      </c>
      <c r="B10" s="3" t="s">
        <v>890</v>
      </c>
      <c r="C10" s="2">
        <v>3</v>
      </c>
      <c r="D10" t="str">
        <f>_xlfn.XLOOKUP(C10,REGION!$A$2:$A$5,REGION!$B$2:$B$5)</f>
        <v>South</v>
      </c>
    </row>
    <row r="11" spans="1:4" x14ac:dyDescent="0.35">
      <c r="A11" s="2">
        <v>10</v>
      </c>
      <c r="B11" s="3" t="s">
        <v>891</v>
      </c>
      <c r="C11" s="2">
        <v>4</v>
      </c>
      <c r="D11" t="str">
        <f>_xlfn.XLOOKUP(C11,REGION!$A$2:$A$5,REGION!$B$2:$B$5)</f>
        <v>West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57"/>
  <sheetViews>
    <sheetView workbookViewId="0">
      <selection activeCell="R12" sqref="R12"/>
    </sheetView>
  </sheetViews>
  <sheetFormatPr defaultRowHeight="14.5" x14ac:dyDescent="0.35"/>
  <cols>
    <col min="1" max="1" width="15.81640625" customWidth="1"/>
    <col min="2" max="2" width="13.81640625" customWidth="1"/>
  </cols>
  <sheetData>
    <row r="1" spans="1:2" x14ac:dyDescent="0.35">
      <c r="A1" s="1" t="s">
        <v>0</v>
      </c>
      <c r="B1" s="1" t="s">
        <v>210</v>
      </c>
    </row>
    <row r="2" spans="1:2" x14ac:dyDescent="0.35">
      <c r="A2" s="2">
        <v>46</v>
      </c>
      <c r="B2" s="2">
        <v>1</v>
      </c>
    </row>
    <row r="3" spans="1:2" x14ac:dyDescent="0.35">
      <c r="A3" s="2">
        <v>47</v>
      </c>
      <c r="B3" s="2">
        <v>1</v>
      </c>
    </row>
    <row r="4" spans="1:2" x14ac:dyDescent="0.35">
      <c r="A4" s="2">
        <v>79</v>
      </c>
      <c r="B4" s="2">
        <v>1</v>
      </c>
    </row>
    <row r="5" spans="1:2" x14ac:dyDescent="0.35">
      <c r="A5" s="2">
        <v>46</v>
      </c>
      <c r="B5" s="2">
        <v>2</v>
      </c>
    </row>
    <row r="6" spans="1:2" x14ac:dyDescent="0.35">
      <c r="A6" s="2">
        <v>47</v>
      </c>
      <c r="B6" s="2">
        <v>2</v>
      </c>
    </row>
    <row r="7" spans="1:2" x14ac:dyDescent="0.35">
      <c r="A7" s="2">
        <v>79</v>
      </c>
      <c r="B7" s="2">
        <v>2</v>
      </c>
    </row>
    <row r="8" spans="1:2" x14ac:dyDescent="0.35">
      <c r="A8" s="2">
        <v>46</v>
      </c>
      <c r="B8" s="2">
        <v>3</v>
      </c>
    </row>
    <row r="9" spans="1:2" x14ac:dyDescent="0.35">
      <c r="A9" s="2">
        <v>47</v>
      </c>
      <c r="B9" s="2">
        <v>3</v>
      </c>
    </row>
    <row r="10" spans="1:2" x14ac:dyDescent="0.35">
      <c r="A10" s="2">
        <v>79</v>
      </c>
      <c r="B10" s="2">
        <v>3</v>
      </c>
    </row>
    <row r="11" spans="1:2" x14ac:dyDescent="0.35">
      <c r="A11" s="2">
        <v>35</v>
      </c>
      <c r="B11" s="2">
        <v>4</v>
      </c>
    </row>
    <row r="12" spans="1:2" x14ac:dyDescent="0.35">
      <c r="A12" s="2">
        <v>77</v>
      </c>
      <c r="B12" s="2">
        <v>4</v>
      </c>
    </row>
    <row r="13" spans="1:2" x14ac:dyDescent="0.35">
      <c r="A13" s="2">
        <v>87</v>
      </c>
      <c r="B13" s="2">
        <v>4</v>
      </c>
    </row>
    <row r="14" spans="1:2" x14ac:dyDescent="0.35">
      <c r="A14" s="2">
        <v>35</v>
      </c>
      <c r="B14" s="2">
        <v>5</v>
      </c>
    </row>
    <row r="15" spans="1:2" x14ac:dyDescent="0.35">
      <c r="A15" s="2">
        <v>77</v>
      </c>
      <c r="B15" s="2">
        <v>5</v>
      </c>
    </row>
    <row r="16" spans="1:2" x14ac:dyDescent="0.35">
      <c r="A16" s="2">
        <v>87</v>
      </c>
      <c r="B16" s="2">
        <v>5</v>
      </c>
    </row>
    <row r="17" spans="1:2" x14ac:dyDescent="0.35">
      <c r="A17" s="2">
        <v>35</v>
      </c>
      <c r="B17" s="2">
        <v>6</v>
      </c>
    </row>
    <row r="18" spans="1:2" x14ac:dyDescent="0.35">
      <c r="A18" s="2">
        <v>77</v>
      </c>
      <c r="B18" s="2">
        <v>6</v>
      </c>
    </row>
    <row r="19" spans="1:2" x14ac:dyDescent="0.35">
      <c r="A19" s="2">
        <v>87</v>
      </c>
      <c r="B19" s="2">
        <v>6</v>
      </c>
    </row>
    <row r="20" spans="1:2" x14ac:dyDescent="0.35">
      <c r="A20" s="2">
        <v>64</v>
      </c>
      <c r="B20" s="2">
        <v>7</v>
      </c>
    </row>
    <row r="21" spans="1:2" x14ac:dyDescent="0.35">
      <c r="A21" s="2">
        <v>84</v>
      </c>
      <c r="B21" s="2">
        <v>7</v>
      </c>
    </row>
    <row r="22" spans="1:2" x14ac:dyDescent="0.35">
      <c r="A22" s="2">
        <v>90</v>
      </c>
      <c r="B22" s="2">
        <v>7</v>
      </c>
    </row>
    <row r="23" spans="1:2" x14ac:dyDescent="0.35">
      <c r="A23" s="2">
        <v>64</v>
      </c>
      <c r="B23" s="2">
        <v>8</v>
      </c>
    </row>
    <row r="24" spans="1:2" x14ac:dyDescent="0.35">
      <c r="A24" s="2">
        <v>84</v>
      </c>
      <c r="B24" s="2">
        <v>8</v>
      </c>
    </row>
    <row r="25" spans="1:2" x14ac:dyDescent="0.35">
      <c r="A25" s="2">
        <v>90</v>
      </c>
      <c r="B25" s="2">
        <v>8</v>
      </c>
    </row>
    <row r="26" spans="1:2" x14ac:dyDescent="0.35">
      <c r="A26" s="2">
        <v>64</v>
      </c>
      <c r="B26" s="2">
        <v>9</v>
      </c>
    </row>
    <row r="27" spans="1:2" x14ac:dyDescent="0.35">
      <c r="A27" s="2">
        <v>84</v>
      </c>
      <c r="B27" s="2">
        <v>9</v>
      </c>
    </row>
    <row r="28" spans="1:2" x14ac:dyDescent="0.35">
      <c r="A28" s="2">
        <v>90</v>
      </c>
      <c r="B28" s="2">
        <v>9</v>
      </c>
    </row>
    <row r="29" spans="1:2" x14ac:dyDescent="0.35">
      <c r="A29" s="2">
        <v>64</v>
      </c>
      <c r="B29" s="2">
        <v>10</v>
      </c>
    </row>
    <row r="30" spans="1:2" x14ac:dyDescent="0.35">
      <c r="A30" s="2">
        <v>84</v>
      </c>
      <c r="B30" s="2">
        <v>10</v>
      </c>
    </row>
    <row r="31" spans="1:2" x14ac:dyDescent="0.35">
      <c r="A31" s="2">
        <v>90</v>
      </c>
      <c r="B31" s="2">
        <v>10</v>
      </c>
    </row>
    <row r="32" spans="1:2" x14ac:dyDescent="0.35">
      <c r="A32" s="2">
        <v>15</v>
      </c>
      <c r="B32" s="2">
        <v>11</v>
      </c>
    </row>
    <row r="33" spans="1:2" x14ac:dyDescent="0.35">
      <c r="A33" s="2">
        <v>44</v>
      </c>
      <c r="B33" s="2">
        <v>11</v>
      </c>
    </row>
    <row r="34" spans="1:2" x14ac:dyDescent="0.35">
      <c r="A34" s="2">
        <v>74</v>
      </c>
      <c r="B34" s="2">
        <v>11</v>
      </c>
    </row>
    <row r="35" spans="1:2" x14ac:dyDescent="0.35">
      <c r="A35" s="2">
        <v>15</v>
      </c>
      <c r="B35" s="2">
        <v>12</v>
      </c>
    </row>
    <row r="36" spans="1:2" x14ac:dyDescent="0.35">
      <c r="A36" s="2">
        <v>44</v>
      </c>
      <c r="B36" s="2">
        <v>12</v>
      </c>
    </row>
    <row r="37" spans="1:2" x14ac:dyDescent="0.35">
      <c r="A37" s="2">
        <v>74</v>
      </c>
      <c r="B37" s="2">
        <v>12</v>
      </c>
    </row>
    <row r="38" spans="1:2" x14ac:dyDescent="0.35">
      <c r="A38" s="2">
        <v>15</v>
      </c>
      <c r="B38" s="2">
        <v>13</v>
      </c>
    </row>
    <row r="39" spans="1:2" x14ac:dyDescent="0.35">
      <c r="A39" s="2">
        <v>44</v>
      </c>
      <c r="B39" s="2">
        <v>13</v>
      </c>
    </row>
    <row r="40" spans="1:2" x14ac:dyDescent="0.35">
      <c r="A40" s="2">
        <v>74</v>
      </c>
      <c r="B40" s="2">
        <v>13</v>
      </c>
    </row>
    <row r="41" spans="1:2" x14ac:dyDescent="0.35">
      <c r="A41" s="2">
        <v>15</v>
      </c>
      <c r="B41" s="2">
        <v>14</v>
      </c>
    </row>
    <row r="42" spans="1:2" x14ac:dyDescent="0.35">
      <c r="A42" s="2">
        <v>44</v>
      </c>
      <c r="B42" s="2">
        <v>14</v>
      </c>
    </row>
    <row r="43" spans="1:2" x14ac:dyDescent="0.35">
      <c r="A43" s="2">
        <v>74</v>
      </c>
      <c r="B43" s="2">
        <v>14</v>
      </c>
    </row>
    <row r="44" spans="1:2" x14ac:dyDescent="0.35">
      <c r="A44" s="2">
        <v>15</v>
      </c>
      <c r="B44" s="2">
        <v>15</v>
      </c>
    </row>
    <row r="45" spans="1:2" x14ac:dyDescent="0.35">
      <c r="A45" s="2">
        <v>44</v>
      </c>
      <c r="B45" s="2">
        <v>15</v>
      </c>
    </row>
    <row r="46" spans="1:2" x14ac:dyDescent="0.35">
      <c r="A46" s="2">
        <v>74</v>
      </c>
      <c r="B46" s="2">
        <v>15</v>
      </c>
    </row>
    <row r="47" spans="1:2" x14ac:dyDescent="0.35">
      <c r="A47" s="2">
        <v>40</v>
      </c>
      <c r="B47" s="2">
        <v>16</v>
      </c>
    </row>
    <row r="48" spans="1:2" x14ac:dyDescent="0.35">
      <c r="A48" s="2">
        <v>43</v>
      </c>
      <c r="B48" s="2">
        <v>16</v>
      </c>
    </row>
    <row r="49" spans="1:2" x14ac:dyDescent="0.35">
      <c r="A49" s="2">
        <v>73</v>
      </c>
      <c r="B49" s="2">
        <v>16</v>
      </c>
    </row>
    <row r="50" spans="1:2" x14ac:dyDescent="0.35">
      <c r="A50" s="2">
        <v>40</v>
      </c>
      <c r="B50" s="2">
        <v>17</v>
      </c>
    </row>
    <row r="51" spans="1:2" x14ac:dyDescent="0.35">
      <c r="A51" s="2">
        <v>43</v>
      </c>
      <c r="B51" s="2">
        <v>17</v>
      </c>
    </row>
    <row r="52" spans="1:2" x14ac:dyDescent="0.35">
      <c r="A52" s="2">
        <v>73</v>
      </c>
      <c r="B52" s="2">
        <v>17</v>
      </c>
    </row>
    <row r="53" spans="1:2" x14ac:dyDescent="0.35">
      <c r="A53" s="2">
        <v>48</v>
      </c>
      <c r="B53" s="2">
        <v>18</v>
      </c>
    </row>
    <row r="54" spans="1:2" x14ac:dyDescent="0.35">
      <c r="A54" s="2">
        <v>82</v>
      </c>
      <c r="B54" s="2">
        <v>18</v>
      </c>
    </row>
    <row r="55" spans="1:2" x14ac:dyDescent="0.35">
      <c r="A55" s="2">
        <v>100</v>
      </c>
      <c r="B55" s="2">
        <v>18</v>
      </c>
    </row>
    <row r="56" spans="1:2" x14ac:dyDescent="0.35">
      <c r="A56" s="2">
        <v>48</v>
      </c>
      <c r="B56" s="2">
        <v>19</v>
      </c>
    </row>
    <row r="57" spans="1:2" x14ac:dyDescent="0.35">
      <c r="A57" s="2">
        <v>82</v>
      </c>
      <c r="B57" s="2">
        <v>19</v>
      </c>
    </row>
    <row r="58" spans="1:2" x14ac:dyDescent="0.35">
      <c r="A58" s="2">
        <v>100</v>
      </c>
      <c r="B58" s="2">
        <v>19</v>
      </c>
    </row>
    <row r="59" spans="1:2" x14ac:dyDescent="0.35">
      <c r="A59" s="2">
        <v>2</v>
      </c>
      <c r="B59" s="2">
        <v>20</v>
      </c>
    </row>
    <row r="60" spans="1:2" x14ac:dyDescent="0.35">
      <c r="A60" s="2">
        <v>10</v>
      </c>
      <c r="B60" s="2">
        <v>20</v>
      </c>
    </row>
    <row r="61" spans="1:2" x14ac:dyDescent="0.35">
      <c r="A61" s="2">
        <v>17</v>
      </c>
      <c r="B61" s="2">
        <v>20</v>
      </c>
    </row>
    <row r="62" spans="1:2" x14ac:dyDescent="0.35">
      <c r="A62" s="2">
        <v>2</v>
      </c>
      <c r="B62" s="2">
        <v>21</v>
      </c>
    </row>
    <row r="63" spans="1:2" x14ac:dyDescent="0.35">
      <c r="A63" s="2">
        <v>10</v>
      </c>
      <c r="B63" s="2">
        <v>21</v>
      </c>
    </row>
    <row r="64" spans="1:2" x14ac:dyDescent="0.35">
      <c r="A64" s="2">
        <v>17</v>
      </c>
      <c r="B64" s="2">
        <v>21</v>
      </c>
    </row>
    <row r="65" spans="1:2" x14ac:dyDescent="0.35">
      <c r="A65" s="2">
        <v>2</v>
      </c>
      <c r="B65" s="2">
        <v>22</v>
      </c>
    </row>
    <row r="66" spans="1:2" x14ac:dyDescent="0.35">
      <c r="A66" s="2">
        <v>10</v>
      </c>
      <c r="B66" s="2">
        <v>22</v>
      </c>
    </row>
    <row r="67" spans="1:2" x14ac:dyDescent="0.35">
      <c r="A67" s="2">
        <v>17</v>
      </c>
      <c r="B67" s="2">
        <v>22</v>
      </c>
    </row>
    <row r="68" spans="1:2" x14ac:dyDescent="0.35">
      <c r="A68" s="2">
        <v>51</v>
      </c>
      <c r="B68" s="2">
        <v>23</v>
      </c>
    </row>
    <row r="69" spans="1:2" x14ac:dyDescent="0.35">
      <c r="A69" s="2">
        <v>61</v>
      </c>
      <c r="B69" s="2">
        <v>23</v>
      </c>
    </row>
    <row r="70" spans="1:2" x14ac:dyDescent="0.35">
      <c r="A70" s="2">
        <v>99</v>
      </c>
      <c r="B70" s="2">
        <v>23</v>
      </c>
    </row>
    <row r="71" spans="1:2" x14ac:dyDescent="0.35">
      <c r="A71" s="2">
        <v>51</v>
      </c>
      <c r="B71" s="2">
        <v>24</v>
      </c>
    </row>
    <row r="72" spans="1:2" x14ac:dyDescent="0.35">
      <c r="A72" s="2">
        <v>61</v>
      </c>
      <c r="B72" s="2">
        <v>24</v>
      </c>
    </row>
    <row r="73" spans="1:2" x14ac:dyDescent="0.35">
      <c r="A73" s="2">
        <v>99</v>
      </c>
      <c r="B73" s="2">
        <v>24</v>
      </c>
    </row>
    <row r="74" spans="1:2" x14ac:dyDescent="0.35">
      <c r="A74" s="2">
        <v>28</v>
      </c>
      <c r="B74" s="2">
        <v>25</v>
      </c>
    </row>
    <row r="75" spans="1:2" x14ac:dyDescent="0.35">
      <c r="A75" s="2">
        <v>83</v>
      </c>
      <c r="B75" s="2">
        <v>25</v>
      </c>
    </row>
    <row r="76" spans="1:2" x14ac:dyDescent="0.35">
      <c r="A76" s="2">
        <v>95</v>
      </c>
      <c r="B76" s="2">
        <v>25</v>
      </c>
    </row>
    <row r="77" spans="1:2" x14ac:dyDescent="0.35">
      <c r="A77" s="2">
        <v>28</v>
      </c>
      <c r="B77" s="2">
        <v>26</v>
      </c>
    </row>
    <row r="78" spans="1:2" x14ac:dyDescent="0.35">
      <c r="A78" s="2">
        <v>83</v>
      </c>
      <c r="B78" s="2">
        <v>26</v>
      </c>
    </row>
    <row r="79" spans="1:2" x14ac:dyDescent="0.35">
      <c r="A79" s="2">
        <v>95</v>
      </c>
      <c r="B79" s="2">
        <v>26</v>
      </c>
    </row>
    <row r="80" spans="1:2" x14ac:dyDescent="0.35">
      <c r="A80" s="2">
        <v>5</v>
      </c>
      <c r="B80" s="2">
        <v>27</v>
      </c>
    </row>
    <row r="81" spans="1:2" x14ac:dyDescent="0.35">
      <c r="A81" s="2">
        <v>57</v>
      </c>
      <c r="B81" s="2">
        <v>27</v>
      </c>
    </row>
    <row r="82" spans="1:2" x14ac:dyDescent="0.35">
      <c r="A82" s="2">
        <v>85</v>
      </c>
      <c r="B82" s="2">
        <v>27</v>
      </c>
    </row>
    <row r="83" spans="1:2" x14ac:dyDescent="0.35">
      <c r="A83" s="2">
        <v>5</v>
      </c>
      <c r="B83" s="2">
        <v>28</v>
      </c>
    </row>
    <row r="84" spans="1:2" x14ac:dyDescent="0.35">
      <c r="A84" s="2">
        <v>57</v>
      </c>
      <c r="B84" s="2">
        <v>28</v>
      </c>
    </row>
    <row r="85" spans="1:2" x14ac:dyDescent="0.35">
      <c r="A85" s="2">
        <v>85</v>
      </c>
      <c r="B85" s="2">
        <v>28</v>
      </c>
    </row>
    <row r="86" spans="1:2" x14ac:dyDescent="0.35">
      <c r="A86" s="2">
        <v>13</v>
      </c>
      <c r="B86" s="2">
        <v>29</v>
      </c>
    </row>
    <row r="87" spans="1:2" x14ac:dyDescent="0.35">
      <c r="A87" s="2">
        <v>33</v>
      </c>
      <c r="B87" s="2">
        <v>29</v>
      </c>
    </row>
    <row r="88" spans="1:2" x14ac:dyDescent="0.35">
      <c r="A88" s="2">
        <v>93</v>
      </c>
      <c r="B88" s="2">
        <v>29</v>
      </c>
    </row>
    <row r="89" spans="1:2" x14ac:dyDescent="0.35">
      <c r="A89" s="2">
        <v>13</v>
      </c>
      <c r="B89" s="2">
        <v>30</v>
      </c>
    </row>
    <row r="90" spans="1:2" x14ac:dyDescent="0.35">
      <c r="A90" s="2">
        <v>33</v>
      </c>
      <c r="B90" s="2">
        <v>30</v>
      </c>
    </row>
    <row r="91" spans="1:2" x14ac:dyDescent="0.35">
      <c r="A91" s="2">
        <v>93</v>
      </c>
      <c r="B91" s="2">
        <v>30</v>
      </c>
    </row>
    <row r="92" spans="1:2" x14ac:dyDescent="0.35">
      <c r="A92" s="2">
        <v>65</v>
      </c>
      <c r="B92" s="2">
        <v>31</v>
      </c>
    </row>
    <row r="93" spans="1:2" x14ac:dyDescent="0.35">
      <c r="A93" s="2">
        <v>78</v>
      </c>
      <c r="B93" s="2">
        <v>31</v>
      </c>
    </row>
    <row r="94" spans="1:2" x14ac:dyDescent="0.35">
      <c r="A94" s="2">
        <v>91</v>
      </c>
      <c r="B94" s="2">
        <v>31</v>
      </c>
    </row>
    <row r="95" spans="1:2" x14ac:dyDescent="0.35">
      <c r="A95" s="2">
        <v>7</v>
      </c>
      <c r="B95" s="2">
        <v>32</v>
      </c>
    </row>
    <row r="96" spans="1:2" x14ac:dyDescent="0.35">
      <c r="A96" s="2">
        <v>52</v>
      </c>
      <c r="B96" s="2">
        <v>32</v>
      </c>
    </row>
    <row r="97" spans="1:2" x14ac:dyDescent="0.35">
      <c r="A97" s="2">
        <v>86</v>
      </c>
      <c r="B97" s="2">
        <v>32</v>
      </c>
    </row>
    <row r="98" spans="1:2" x14ac:dyDescent="0.35">
      <c r="A98" s="2">
        <v>14</v>
      </c>
      <c r="B98" s="2">
        <v>33</v>
      </c>
    </row>
    <row r="99" spans="1:2" x14ac:dyDescent="0.35">
      <c r="A99" s="2">
        <v>30</v>
      </c>
      <c r="B99" s="2">
        <v>33</v>
      </c>
    </row>
    <row r="100" spans="1:2" x14ac:dyDescent="0.35">
      <c r="A100" s="2">
        <v>63</v>
      </c>
      <c r="B100" s="2">
        <v>33</v>
      </c>
    </row>
    <row r="101" spans="1:2" x14ac:dyDescent="0.35">
      <c r="A101" s="2">
        <v>14</v>
      </c>
      <c r="B101" s="2">
        <v>34</v>
      </c>
    </row>
    <row r="102" spans="1:2" x14ac:dyDescent="0.35">
      <c r="A102" s="2">
        <v>30</v>
      </c>
      <c r="B102" s="2">
        <v>34</v>
      </c>
    </row>
    <row r="103" spans="1:2" x14ac:dyDescent="0.35">
      <c r="A103" s="2">
        <v>63</v>
      </c>
      <c r="B103" s="2">
        <v>34</v>
      </c>
    </row>
    <row r="104" spans="1:2" x14ac:dyDescent="0.35">
      <c r="A104" s="2">
        <v>32</v>
      </c>
      <c r="B104" s="2">
        <v>35</v>
      </c>
    </row>
    <row r="105" spans="1:2" x14ac:dyDescent="0.35">
      <c r="A105" s="2">
        <v>67</v>
      </c>
      <c r="B105" s="2">
        <v>35</v>
      </c>
    </row>
    <row r="106" spans="1:2" x14ac:dyDescent="0.35">
      <c r="A106" s="2">
        <v>89</v>
      </c>
      <c r="B106" s="2">
        <v>35</v>
      </c>
    </row>
    <row r="107" spans="1:2" x14ac:dyDescent="0.35">
      <c r="A107" s="2">
        <v>32</v>
      </c>
      <c r="B107" s="2">
        <v>36</v>
      </c>
    </row>
    <row r="108" spans="1:2" x14ac:dyDescent="0.35">
      <c r="A108" s="2">
        <v>67</v>
      </c>
      <c r="B108" s="2">
        <v>36</v>
      </c>
    </row>
    <row r="109" spans="1:2" x14ac:dyDescent="0.35">
      <c r="A109" s="2">
        <v>89</v>
      </c>
      <c r="B109" s="2">
        <v>36</v>
      </c>
    </row>
    <row r="110" spans="1:2" x14ac:dyDescent="0.35">
      <c r="A110" s="2">
        <v>16</v>
      </c>
      <c r="B110" s="2">
        <v>37</v>
      </c>
    </row>
    <row r="111" spans="1:2" x14ac:dyDescent="0.35">
      <c r="A111" s="2">
        <v>66</v>
      </c>
      <c r="B111" s="2">
        <v>37</v>
      </c>
    </row>
    <row r="112" spans="1:2" x14ac:dyDescent="0.35">
      <c r="A112" s="2">
        <v>72</v>
      </c>
      <c r="B112" s="2">
        <v>37</v>
      </c>
    </row>
    <row r="113" spans="1:2" x14ac:dyDescent="0.35">
      <c r="A113" s="2">
        <v>16</v>
      </c>
      <c r="B113" s="2">
        <v>38</v>
      </c>
    </row>
    <row r="114" spans="1:2" x14ac:dyDescent="0.35">
      <c r="A114" s="2">
        <v>66</v>
      </c>
      <c r="B114" s="2">
        <v>38</v>
      </c>
    </row>
    <row r="115" spans="1:2" x14ac:dyDescent="0.35">
      <c r="A115" s="2">
        <v>72</v>
      </c>
      <c r="B115" s="2">
        <v>38</v>
      </c>
    </row>
    <row r="116" spans="1:2" x14ac:dyDescent="0.35">
      <c r="A116" s="2">
        <v>16</v>
      </c>
      <c r="B116" s="2">
        <v>39</v>
      </c>
    </row>
    <row r="117" spans="1:2" x14ac:dyDescent="0.35">
      <c r="A117" s="2">
        <v>66</v>
      </c>
      <c r="B117" s="2">
        <v>39</v>
      </c>
    </row>
    <row r="118" spans="1:2" x14ac:dyDescent="0.35">
      <c r="A118" s="2">
        <v>72</v>
      </c>
      <c r="B118" s="2">
        <v>39</v>
      </c>
    </row>
    <row r="119" spans="1:2" x14ac:dyDescent="0.35">
      <c r="A119" s="2">
        <v>3</v>
      </c>
      <c r="B119" s="2">
        <v>40</v>
      </c>
    </row>
    <row r="120" spans="1:2" x14ac:dyDescent="0.35">
      <c r="A120" s="2">
        <v>18</v>
      </c>
      <c r="B120" s="2">
        <v>40</v>
      </c>
    </row>
    <row r="121" spans="1:2" x14ac:dyDescent="0.35">
      <c r="A121" s="2">
        <v>58</v>
      </c>
      <c r="B121" s="2">
        <v>40</v>
      </c>
    </row>
    <row r="122" spans="1:2" x14ac:dyDescent="0.35">
      <c r="A122" s="2">
        <v>3</v>
      </c>
      <c r="B122" s="2">
        <v>41</v>
      </c>
    </row>
    <row r="123" spans="1:2" x14ac:dyDescent="0.35">
      <c r="A123" s="2">
        <v>18</v>
      </c>
      <c r="B123" s="2">
        <v>41</v>
      </c>
    </row>
    <row r="124" spans="1:2" x14ac:dyDescent="0.35">
      <c r="A124" s="2">
        <v>58</v>
      </c>
      <c r="B124" s="2">
        <v>41</v>
      </c>
    </row>
    <row r="125" spans="1:2" x14ac:dyDescent="0.35">
      <c r="A125" s="2">
        <v>20</v>
      </c>
      <c r="B125" s="2">
        <v>42</v>
      </c>
    </row>
    <row r="126" spans="1:2" x14ac:dyDescent="0.35">
      <c r="A126" s="2">
        <v>53</v>
      </c>
      <c r="B126" s="2">
        <v>42</v>
      </c>
    </row>
    <row r="127" spans="1:2" x14ac:dyDescent="0.35">
      <c r="A127" s="2">
        <v>54</v>
      </c>
      <c r="B127" s="2">
        <v>42</v>
      </c>
    </row>
    <row r="128" spans="1:2" x14ac:dyDescent="0.35">
      <c r="A128" s="2">
        <v>20</v>
      </c>
      <c r="B128" s="2">
        <v>43</v>
      </c>
    </row>
    <row r="129" spans="1:2" x14ac:dyDescent="0.35">
      <c r="A129" s="2">
        <v>53</v>
      </c>
      <c r="B129" s="2">
        <v>43</v>
      </c>
    </row>
    <row r="130" spans="1:2" x14ac:dyDescent="0.35">
      <c r="A130" s="2">
        <v>54</v>
      </c>
      <c r="B130" s="2">
        <v>43</v>
      </c>
    </row>
    <row r="131" spans="1:2" x14ac:dyDescent="0.35">
      <c r="A131" s="2">
        <v>45</v>
      </c>
      <c r="B131" s="2">
        <v>44</v>
      </c>
    </row>
    <row r="132" spans="1:2" x14ac:dyDescent="0.35">
      <c r="A132" s="2">
        <v>69</v>
      </c>
      <c r="B132" s="2">
        <v>44</v>
      </c>
    </row>
    <row r="133" spans="1:2" x14ac:dyDescent="0.35">
      <c r="A133" s="2">
        <v>70</v>
      </c>
      <c r="B133" s="2">
        <v>44</v>
      </c>
    </row>
    <row r="134" spans="1:2" x14ac:dyDescent="0.35">
      <c r="A134" s="2">
        <v>45</v>
      </c>
      <c r="B134" s="2">
        <v>45</v>
      </c>
    </row>
    <row r="135" spans="1:2" x14ac:dyDescent="0.35">
      <c r="A135" s="2">
        <v>69</v>
      </c>
      <c r="B135" s="2">
        <v>45</v>
      </c>
    </row>
    <row r="136" spans="1:2" x14ac:dyDescent="0.35">
      <c r="A136" s="2">
        <v>70</v>
      </c>
      <c r="B136" s="2">
        <v>45</v>
      </c>
    </row>
    <row r="137" spans="1:2" x14ac:dyDescent="0.35">
      <c r="A137" s="2">
        <v>45</v>
      </c>
      <c r="B137" s="2">
        <v>46</v>
      </c>
    </row>
    <row r="138" spans="1:2" x14ac:dyDescent="0.35">
      <c r="A138" s="2">
        <v>69</v>
      </c>
      <c r="B138" s="2">
        <v>46</v>
      </c>
    </row>
    <row r="139" spans="1:2" x14ac:dyDescent="0.35">
      <c r="A139" s="2">
        <v>70</v>
      </c>
      <c r="B139" s="2">
        <v>46</v>
      </c>
    </row>
    <row r="140" spans="1:2" x14ac:dyDescent="0.35">
      <c r="A140" s="2">
        <v>45</v>
      </c>
      <c r="B140" s="2">
        <v>47</v>
      </c>
    </row>
    <row r="141" spans="1:2" x14ac:dyDescent="0.35">
      <c r="A141" s="2">
        <v>69</v>
      </c>
      <c r="B141" s="2">
        <v>47</v>
      </c>
    </row>
    <row r="142" spans="1:2" x14ac:dyDescent="0.35">
      <c r="A142" s="2">
        <v>70</v>
      </c>
      <c r="B142" s="2">
        <v>47</v>
      </c>
    </row>
    <row r="143" spans="1:2" x14ac:dyDescent="0.35">
      <c r="A143" s="2">
        <v>22</v>
      </c>
      <c r="B143" s="2">
        <v>48</v>
      </c>
    </row>
    <row r="144" spans="1:2" x14ac:dyDescent="0.35">
      <c r="A144" s="2">
        <v>76</v>
      </c>
      <c r="B144" s="2">
        <v>48</v>
      </c>
    </row>
    <row r="145" spans="1:2" x14ac:dyDescent="0.35">
      <c r="A145" s="2">
        <v>88</v>
      </c>
      <c r="B145" s="2">
        <v>48</v>
      </c>
    </row>
    <row r="146" spans="1:2" x14ac:dyDescent="0.35">
      <c r="A146" s="2">
        <v>22</v>
      </c>
      <c r="B146" s="2">
        <v>49</v>
      </c>
    </row>
    <row r="147" spans="1:2" x14ac:dyDescent="0.35">
      <c r="A147" s="2">
        <v>76</v>
      </c>
      <c r="B147" s="2">
        <v>49</v>
      </c>
    </row>
    <row r="148" spans="1:2" x14ac:dyDescent="0.35">
      <c r="A148" s="2">
        <v>88</v>
      </c>
      <c r="B148" s="2">
        <v>49</v>
      </c>
    </row>
    <row r="149" spans="1:2" x14ac:dyDescent="0.35">
      <c r="A149" s="2">
        <v>41</v>
      </c>
      <c r="B149" s="2">
        <v>50</v>
      </c>
    </row>
    <row r="150" spans="1:2" x14ac:dyDescent="0.35">
      <c r="A150" s="2">
        <v>56</v>
      </c>
      <c r="B150" s="2">
        <v>50</v>
      </c>
    </row>
    <row r="151" spans="1:2" x14ac:dyDescent="0.35">
      <c r="A151" s="2">
        <v>96</v>
      </c>
      <c r="B151" s="2">
        <v>50</v>
      </c>
    </row>
    <row r="152" spans="1:2" x14ac:dyDescent="0.35">
      <c r="A152" s="2">
        <v>49</v>
      </c>
      <c r="B152" s="2">
        <v>51</v>
      </c>
    </row>
    <row r="153" spans="1:2" x14ac:dyDescent="0.35">
      <c r="A153" s="2">
        <v>71</v>
      </c>
      <c r="B153" s="2">
        <v>51</v>
      </c>
    </row>
    <row r="154" spans="1:2" x14ac:dyDescent="0.35">
      <c r="A154" s="2">
        <v>97</v>
      </c>
      <c r="B154" s="2">
        <v>51</v>
      </c>
    </row>
    <row r="155" spans="1:2" x14ac:dyDescent="0.35">
      <c r="A155" s="2">
        <v>49</v>
      </c>
      <c r="B155" s="2">
        <v>52</v>
      </c>
    </row>
    <row r="156" spans="1:2" x14ac:dyDescent="0.35">
      <c r="A156" s="2">
        <v>71</v>
      </c>
      <c r="B156" s="2">
        <v>52</v>
      </c>
    </row>
    <row r="157" spans="1:2" x14ac:dyDescent="0.35">
      <c r="A157" s="2">
        <v>97</v>
      </c>
      <c r="B157" s="2">
        <v>52</v>
      </c>
    </row>
    <row r="158" spans="1:2" x14ac:dyDescent="0.35">
      <c r="A158" s="2">
        <v>6</v>
      </c>
      <c r="B158" s="2">
        <v>53</v>
      </c>
    </row>
    <row r="159" spans="1:2" x14ac:dyDescent="0.35">
      <c r="A159" s="2">
        <v>55</v>
      </c>
      <c r="B159" s="2">
        <v>53</v>
      </c>
    </row>
    <row r="160" spans="1:2" x14ac:dyDescent="0.35">
      <c r="A160" s="2">
        <v>62</v>
      </c>
      <c r="B160" s="2">
        <v>53</v>
      </c>
    </row>
    <row r="161" spans="1:2" x14ac:dyDescent="0.35">
      <c r="A161" s="2">
        <v>27</v>
      </c>
      <c r="B161" s="2">
        <v>54</v>
      </c>
    </row>
    <row r="162" spans="1:2" x14ac:dyDescent="0.35">
      <c r="A162" s="2">
        <v>31</v>
      </c>
      <c r="B162" s="2">
        <v>54</v>
      </c>
    </row>
    <row r="163" spans="1:2" x14ac:dyDescent="0.35">
      <c r="A163" s="2">
        <v>36</v>
      </c>
      <c r="B163" s="2">
        <v>54</v>
      </c>
    </row>
    <row r="164" spans="1:2" x14ac:dyDescent="0.35">
      <c r="A164" s="2">
        <v>27</v>
      </c>
      <c r="B164" s="2">
        <v>55</v>
      </c>
    </row>
    <row r="165" spans="1:2" x14ac:dyDescent="0.35">
      <c r="A165" s="2">
        <v>31</v>
      </c>
      <c r="B165" s="2">
        <v>55</v>
      </c>
    </row>
    <row r="166" spans="1:2" x14ac:dyDescent="0.35">
      <c r="A166" s="2">
        <v>36</v>
      </c>
      <c r="B166" s="2">
        <v>55</v>
      </c>
    </row>
    <row r="167" spans="1:2" x14ac:dyDescent="0.35">
      <c r="A167" s="2">
        <v>27</v>
      </c>
      <c r="B167" s="2">
        <v>56</v>
      </c>
    </row>
    <row r="168" spans="1:2" x14ac:dyDescent="0.35">
      <c r="A168" s="2">
        <v>31</v>
      </c>
      <c r="B168" s="2">
        <v>56</v>
      </c>
    </row>
    <row r="169" spans="1:2" x14ac:dyDescent="0.35">
      <c r="A169" s="2">
        <v>36</v>
      </c>
      <c r="B169" s="2">
        <v>56</v>
      </c>
    </row>
    <row r="170" spans="1:2" x14ac:dyDescent="0.35">
      <c r="A170" s="2">
        <v>19</v>
      </c>
      <c r="B170" s="2">
        <v>57</v>
      </c>
    </row>
    <row r="171" spans="1:2" x14ac:dyDescent="0.35">
      <c r="A171" s="2">
        <v>39</v>
      </c>
      <c r="B171" s="2">
        <v>57</v>
      </c>
    </row>
    <row r="172" spans="1:2" x14ac:dyDescent="0.35">
      <c r="A172" s="2">
        <v>19</v>
      </c>
      <c r="B172" s="2">
        <v>58</v>
      </c>
    </row>
    <row r="173" spans="1:2" x14ac:dyDescent="0.35">
      <c r="A173" s="2">
        <v>39</v>
      </c>
      <c r="B173" s="2">
        <v>58</v>
      </c>
    </row>
    <row r="174" spans="1:2" x14ac:dyDescent="0.35">
      <c r="A174" s="2">
        <v>24</v>
      </c>
      <c r="B174" s="2">
        <v>59</v>
      </c>
    </row>
    <row r="175" spans="1:2" x14ac:dyDescent="0.35">
      <c r="A175" s="2">
        <v>92</v>
      </c>
      <c r="B175" s="2">
        <v>59</v>
      </c>
    </row>
    <row r="176" spans="1:2" x14ac:dyDescent="0.35">
      <c r="A176" s="2">
        <v>8</v>
      </c>
      <c r="B176" s="2">
        <v>60</v>
      </c>
    </row>
    <row r="177" spans="1:2" x14ac:dyDescent="0.35">
      <c r="A177" s="2">
        <v>38</v>
      </c>
      <c r="B177" s="2">
        <v>60</v>
      </c>
    </row>
    <row r="178" spans="1:2" x14ac:dyDescent="0.35">
      <c r="A178" s="2">
        <v>21</v>
      </c>
      <c r="B178" s="2">
        <v>61</v>
      </c>
    </row>
    <row r="179" spans="1:2" x14ac:dyDescent="0.35">
      <c r="A179" s="2">
        <v>94</v>
      </c>
      <c r="B179" s="2">
        <v>61</v>
      </c>
    </row>
    <row r="180" spans="1:2" x14ac:dyDescent="0.35">
      <c r="A180" s="2">
        <v>12</v>
      </c>
      <c r="B180" s="2">
        <v>62</v>
      </c>
    </row>
    <row r="181" spans="1:2" x14ac:dyDescent="0.35">
      <c r="A181" s="2">
        <v>75</v>
      </c>
      <c r="B181" s="2">
        <v>62</v>
      </c>
    </row>
    <row r="182" spans="1:2" x14ac:dyDescent="0.35">
      <c r="A182" s="2">
        <v>12</v>
      </c>
      <c r="B182" s="2">
        <v>63</v>
      </c>
    </row>
    <row r="183" spans="1:2" x14ac:dyDescent="0.35">
      <c r="A183" s="2">
        <v>75</v>
      </c>
      <c r="B183" s="2">
        <v>63</v>
      </c>
    </row>
    <row r="184" spans="1:2" x14ac:dyDescent="0.35">
      <c r="A184" s="2">
        <v>4</v>
      </c>
      <c r="B184" s="2">
        <v>64</v>
      </c>
    </row>
    <row r="185" spans="1:2" x14ac:dyDescent="0.35">
      <c r="A185" s="2">
        <v>25</v>
      </c>
      <c r="B185" s="2">
        <v>64</v>
      </c>
    </row>
    <row r="186" spans="1:2" x14ac:dyDescent="0.35">
      <c r="A186" s="2">
        <v>4</v>
      </c>
      <c r="B186" s="2">
        <v>65</v>
      </c>
    </row>
    <row r="187" spans="1:2" x14ac:dyDescent="0.35">
      <c r="A187" s="2">
        <v>25</v>
      </c>
      <c r="B187" s="2">
        <v>65</v>
      </c>
    </row>
    <row r="188" spans="1:2" x14ac:dyDescent="0.35">
      <c r="A188" s="2">
        <v>4</v>
      </c>
      <c r="B188" s="2">
        <v>66</v>
      </c>
    </row>
    <row r="189" spans="1:2" x14ac:dyDescent="0.35">
      <c r="A189" s="2">
        <v>25</v>
      </c>
      <c r="B189" s="2">
        <v>66</v>
      </c>
    </row>
    <row r="190" spans="1:2" x14ac:dyDescent="0.35">
      <c r="A190" s="2">
        <v>4</v>
      </c>
      <c r="B190" s="2">
        <v>67</v>
      </c>
    </row>
    <row r="191" spans="1:2" x14ac:dyDescent="0.35">
      <c r="A191" s="2">
        <v>25</v>
      </c>
      <c r="B191" s="2">
        <v>67</v>
      </c>
    </row>
    <row r="192" spans="1:2" x14ac:dyDescent="0.35">
      <c r="A192" s="2">
        <v>4</v>
      </c>
      <c r="B192" s="2">
        <v>68</v>
      </c>
    </row>
    <row r="193" spans="1:2" x14ac:dyDescent="0.35">
      <c r="A193" s="2">
        <v>25</v>
      </c>
      <c r="B193" s="2">
        <v>68</v>
      </c>
    </row>
    <row r="194" spans="1:2" x14ac:dyDescent="0.35">
      <c r="A194" s="2">
        <v>4</v>
      </c>
      <c r="B194" s="2">
        <v>69</v>
      </c>
    </row>
    <row r="195" spans="1:2" x14ac:dyDescent="0.35">
      <c r="A195" s="2">
        <v>25</v>
      </c>
      <c r="B195" s="2">
        <v>69</v>
      </c>
    </row>
    <row r="196" spans="1:2" x14ac:dyDescent="0.35">
      <c r="A196" s="2">
        <v>4</v>
      </c>
      <c r="B196" s="2">
        <v>70</v>
      </c>
    </row>
    <row r="197" spans="1:2" x14ac:dyDescent="0.35">
      <c r="A197" s="2">
        <v>25</v>
      </c>
      <c r="B197" s="2">
        <v>70</v>
      </c>
    </row>
    <row r="198" spans="1:2" x14ac:dyDescent="0.35">
      <c r="A198" s="2">
        <v>4</v>
      </c>
      <c r="B198" s="2">
        <v>71</v>
      </c>
    </row>
    <row r="199" spans="1:2" x14ac:dyDescent="0.35">
      <c r="A199" s="2">
        <v>25</v>
      </c>
      <c r="B199" s="2">
        <v>71</v>
      </c>
    </row>
    <row r="200" spans="1:2" x14ac:dyDescent="0.35">
      <c r="A200" s="2">
        <v>4</v>
      </c>
      <c r="B200" s="2">
        <v>72</v>
      </c>
    </row>
    <row r="201" spans="1:2" x14ac:dyDescent="0.35">
      <c r="A201" s="2">
        <v>25</v>
      </c>
      <c r="B201" s="2">
        <v>72</v>
      </c>
    </row>
    <row r="202" spans="1:2" x14ac:dyDescent="0.35">
      <c r="A202" s="2">
        <v>4</v>
      </c>
      <c r="B202" s="2">
        <v>73</v>
      </c>
    </row>
    <row r="203" spans="1:2" x14ac:dyDescent="0.35">
      <c r="A203" s="2">
        <v>25</v>
      </c>
      <c r="B203" s="2">
        <v>73</v>
      </c>
    </row>
    <row r="204" spans="1:2" x14ac:dyDescent="0.35">
      <c r="A204" s="2">
        <v>4</v>
      </c>
      <c r="B204" s="2">
        <v>74</v>
      </c>
    </row>
    <row r="205" spans="1:2" x14ac:dyDescent="0.35">
      <c r="A205" s="2">
        <v>25</v>
      </c>
      <c r="B205" s="2">
        <v>74</v>
      </c>
    </row>
    <row r="206" spans="1:2" x14ac:dyDescent="0.35">
      <c r="A206" s="2">
        <v>4</v>
      </c>
      <c r="B206" s="2">
        <v>75</v>
      </c>
    </row>
    <row r="207" spans="1:2" x14ac:dyDescent="0.35">
      <c r="A207" s="2">
        <v>25</v>
      </c>
      <c r="B207" s="2">
        <v>75</v>
      </c>
    </row>
    <row r="208" spans="1:2" x14ac:dyDescent="0.35">
      <c r="A208" s="2">
        <v>11</v>
      </c>
      <c r="B208" s="2">
        <v>76</v>
      </c>
    </row>
    <row r="209" spans="1:2" x14ac:dyDescent="0.35">
      <c r="A209" s="2">
        <v>59</v>
      </c>
      <c r="B209" s="2">
        <v>76</v>
      </c>
    </row>
    <row r="210" spans="1:2" x14ac:dyDescent="0.35">
      <c r="A210" s="2">
        <v>11</v>
      </c>
      <c r="B210" s="2">
        <v>77</v>
      </c>
    </row>
    <row r="211" spans="1:2" x14ac:dyDescent="0.35">
      <c r="A211" s="2">
        <v>59</v>
      </c>
      <c r="B211" s="2">
        <v>77</v>
      </c>
    </row>
    <row r="212" spans="1:2" x14ac:dyDescent="0.35">
      <c r="A212" s="2">
        <v>11</v>
      </c>
      <c r="B212" s="2">
        <v>78</v>
      </c>
    </row>
    <row r="213" spans="1:2" x14ac:dyDescent="0.35">
      <c r="A213" s="2">
        <v>59</v>
      </c>
      <c r="B213" s="2">
        <v>78</v>
      </c>
    </row>
    <row r="214" spans="1:2" x14ac:dyDescent="0.35">
      <c r="A214" s="2">
        <v>11</v>
      </c>
      <c r="B214" s="2">
        <v>79</v>
      </c>
    </row>
    <row r="215" spans="1:2" x14ac:dyDescent="0.35">
      <c r="A215" s="2">
        <v>59</v>
      </c>
      <c r="B215" s="2">
        <v>79</v>
      </c>
    </row>
    <row r="216" spans="1:2" x14ac:dyDescent="0.35">
      <c r="A216" s="2">
        <v>23</v>
      </c>
      <c r="B216" s="2">
        <v>80</v>
      </c>
    </row>
    <row r="217" spans="1:2" x14ac:dyDescent="0.35">
      <c r="A217" s="2">
        <v>60</v>
      </c>
      <c r="B217" s="2">
        <v>80</v>
      </c>
    </row>
    <row r="218" spans="1:2" x14ac:dyDescent="0.35">
      <c r="A218" s="2">
        <v>29</v>
      </c>
      <c r="B218" s="2">
        <v>81</v>
      </c>
    </row>
    <row r="219" spans="1:2" x14ac:dyDescent="0.35">
      <c r="A219" s="2">
        <v>50</v>
      </c>
      <c r="B219" s="2">
        <v>81</v>
      </c>
    </row>
    <row r="220" spans="1:2" x14ac:dyDescent="0.35">
      <c r="A220" s="2">
        <v>29</v>
      </c>
      <c r="B220" s="2">
        <v>82</v>
      </c>
    </row>
    <row r="221" spans="1:2" x14ac:dyDescent="0.35">
      <c r="A221" s="2">
        <v>50</v>
      </c>
      <c r="B221" s="2">
        <v>82</v>
      </c>
    </row>
    <row r="222" spans="1:2" x14ac:dyDescent="0.35">
      <c r="A222" s="2">
        <v>29</v>
      </c>
      <c r="B222" s="2">
        <v>83</v>
      </c>
    </row>
    <row r="223" spans="1:2" x14ac:dyDescent="0.35">
      <c r="A223" s="2">
        <v>50</v>
      </c>
      <c r="B223" s="2">
        <v>83</v>
      </c>
    </row>
    <row r="224" spans="1:2" x14ac:dyDescent="0.35">
      <c r="A224" s="2">
        <v>37</v>
      </c>
      <c r="B224" s="2">
        <v>84</v>
      </c>
    </row>
    <row r="225" spans="1:2" x14ac:dyDescent="0.35">
      <c r="A225" s="2">
        <v>42</v>
      </c>
      <c r="B225" s="2">
        <v>84</v>
      </c>
    </row>
    <row r="226" spans="1:2" x14ac:dyDescent="0.35">
      <c r="A226" s="2">
        <v>37</v>
      </c>
      <c r="B226" s="2">
        <v>85</v>
      </c>
    </row>
    <row r="227" spans="1:2" x14ac:dyDescent="0.35">
      <c r="A227" s="2">
        <v>42</v>
      </c>
      <c r="B227" s="2">
        <v>85</v>
      </c>
    </row>
    <row r="228" spans="1:2" x14ac:dyDescent="0.35">
      <c r="A228" s="2">
        <v>37</v>
      </c>
      <c r="B228" s="2">
        <v>86</v>
      </c>
    </row>
    <row r="229" spans="1:2" x14ac:dyDescent="0.35">
      <c r="A229" s="2">
        <v>42</v>
      </c>
      <c r="B229" s="2">
        <v>86</v>
      </c>
    </row>
    <row r="230" spans="1:2" x14ac:dyDescent="0.35">
      <c r="A230" s="2">
        <v>37</v>
      </c>
      <c r="B230" s="2">
        <v>87</v>
      </c>
    </row>
    <row r="231" spans="1:2" x14ac:dyDescent="0.35">
      <c r="A231" s="2">
        <v>42</v>
      </c>
      <c r="B231" s="2">
        <v>87</v>
      </c>
    </row>
    <row r="232" spans="1:2" x14ac:dyDescent="0.35">
      <c r="A232" s="2">
        <v>37</v>
      </c>
      <c r="B232" s="2">
        <v>88</v>
      </c>
    </row>
    <row r="233" spans="1:2" x14ac:dyDescent="0.35">
      <c r="A233" s="2">
        <v>42</v>
      </c>
      <c r="B233" s="2">
        <v>88</v>
      </c>
    </row>
    <row r="234" spans="1:2" x14ac:dyDescent="0.35">
      <c r="A234" s="2">
        <v>37</v>
      </c>
      <c r="B234" s="2">
        <v>89</v>
      </c>
    </row>
    <row r="235" spans="1:2" x14ac:dyDescent="0.35">
      <c r="A235" s="2">
        <v>42</v>
      </c>
      <c r="B235" s="2">
        <v>89</v>
      </c>
    </row>
    <row r="236" spans="1:2" x14ac:dyDescent="0.35">
      <c r="A236" s="2">
        <v>37</v>
      </c>
      <c r="B236" s="2">
        <v>90</v>
      </c>
    </row>
    <row r="237" spans="1:2" x14ac:dyDescent="0.35">
      <c r="A237" s="2">
        <v>42</v>
      </c>
      <c r="B237" s="2">
        <v>90</v>
      </c>
    </row>
    <row r="238" spans="1:2" x14ac:dyDescent="0.35">
      <c r="A238" s="2">
        <v>37</v>
      </c>
      <c r="B238" s="2">
        <v>91</v>
      </c>
    </row>
    <row r="239" spans="1:2" x14ac:dyDescent="0.35">
      <c r="A239" s="2">
        <v>42</v>
      </c>
      <c r="B239" s="2">
        <v>91</v>
      </c>
    </row>
    <row r="240" spans="1:2" x14ac:dyDescent="0.35">
      <c r="A240" s="2">
        <v>37</v>
      </c>
      <c r="B240" s="2">
        <v>92</v>
      </c>
    </row>
    <row r="241" spans="1:2" x14ac:dyDescent="0.35">
      <c r="A241" s="2">
        <v>42</v>
      </c>
      <c r="B241" s="2">
        <v>92</v>
      </c>
    </row>
    <row r="242" spans="1:2" x14ac:dyDescent="0.35">
      <c r="A242" s="2">
        <v>1</v>
      </c>
      <c r="B242" s="2">
        <v>93</v>
      </c>
    </row>
    <row r="243" spans="1:2" x14ac:dyDescent="0.35">
      <c r="A243" s="2">
        <v>26</v>
      </c>
      <c r="B243" s="2">
        <v>93</v>
      </c>
    </row>
    <row r="244" spans="1:2" x14ac:dyDescent="0.35">
      <c r="A244" s="2">
        <v>1</v>
      </c>
      <c r="B244" s="2">
        <v>94</v>
      </c>
    </row>
    <row r="245" spans="1:2" x14ac:dyDescent="0.35">
      <c r="A245" s="2">
        <v>26</v>
      </c>
      <c r="B245" s="2">
        <v>94</v>
      </c>
    </row>
    <row r="246" spans="1:2" x14ac:dyDescent="0.35">
      <c r="A246" s="2">
        <v>34</v>
      </c>
      <c r="B246" s="2">
        <v>95</v>
      </c>
    </row>
    <row r="247" spans="1:2" x14ac:dyDescent="0.35">
      <c r="A247" s="2">
        <v>81</v>
      </c>
      <c r="B247" s="2">
        <v>95</v>
      </c>
    </row>
    <row r="248" spans="1:2" x14ac:dyDescent="0.35">
      <c r="A248" s="2">
        <v>34</v>
      </c>
      <c r="B248" s="2">
        <v>96</v>
      </c>
    </row>
    <row r="249" spans="1:2" x14ac:dyDescent="0.35">
      <c r="A249" s="2">
        <v>81</v>
      </c>
      <c r="B249" s="2">
        <v>96</v>
      </c>
    </row>
    <row r="250" spans="1:2" x14ac:dyDescent="0.35">
      <c r="A250" s="2">
        <v>9</v>
      </c>
      <c r="B250" s="2">
        <v>97</v>
      </c>
    </row>
    <row r="251" spans="1:2" x14ac:dyDescent="0.35">
      <c r="A251" s="2">
        <v>98</v>
      </c>
      <c r="B251" s="2">
        <v>97</v>
      </c>
    </row>
    <row r="252" spans="1:2" x14ac:dyDescent="0.35">
      <c r="A252" s="2">
        <v>68</v>
      </c>
      <c r="B252" s="2">
        <v>98</v>
      </c>
    </row>
    <row r="253" spans="1:2" x14ac:dyDescent="0.35">
      <c r="A253" s="2">
        <v>80</v>
      </c>
      <c r="B253" s="2">
        <v>98</v>
      </c>
    </row>
    <row r="254" spans="1:2" x14ac:dyDescent="0.35">
      <c r="A254" s="2">
        <v>68</v>
      </c>
      <c r="B254" s="2">
        <v>99</v>
      </c>
    </row>
    <row r="255" spans="1:2" x14ac:dyDescent="0.35">
      <c r="A255" s="2">
        <v>80</v>
      </c>
      <c r="B255" s="2">
        <v>99</v>
      </c>
    </row>
    <row r="256" spans="1:2" x14ac:dyDescent="0.35">
      <c r="A256" s="2">
        <v>68</v>
      </c>
      <c r="B256" s="2">
        <v>100</v>
      </c>
    </row>
    <row r="257" spans="1:2" x14ac:dyDescent="0.35">
      <c r="A257" s="2">
        <v>80</v>
      </c>
      <c r="B257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Sheet3</vt:lpstr>
      <vt:lpstr>CUSTOMER</vt:lpstr>
      <vt:lpstr>ORDER_DETAILS</vt:lpstr>
      <vt:lpstr>REGION</vt:lpstr>
      <vt:lpstr>STORE</vt:lpstr>
      <vt:lpstr>YEAR</vt:lpstr>
      <vt:lpstr>ITEM</vt:lpstr>
      <vt:lpstr>DAY</vt:lpstr>
      <vt:lpstr>CHANNEL</vt:lpstr>
      <vt:lpstr>CITY</vt:lpstr>
      <vt:lpstr>COUNTRY</vt:lpstr>
      <vt:lpstr>SUBCATEGORY</vt:lpstr>
      <vt:lpstr>CATEGORY</vt:lpstr>
      <vt:lpstr>DEPARTMENT</vt:lpstr>
      <vt:lpstr>STATE</vt:lpstr>
      <vt:lpstr>REL_CUSTOMER_STORE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2025-11-22T03:11:50Z</dcterms:modified>
</cp:coreProperties>
</file>